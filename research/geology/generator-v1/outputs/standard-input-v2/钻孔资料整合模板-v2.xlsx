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35ea493a341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钻孔基本信息" sheetId="1" r:id="R56bfc534d2374c2b"/>
    <x:sheet xmlns:r="http://schemas.openxmlformats.org/officeDocument/2006/relationships" name="回次表" sheetId="2" r:id="R5aaa6e4a4ef24127"/>
    <x:sheet xmlns:r="http://schemas.openxmlformats.org/officeDocument/2006/relationships" name="分层-原始记录" sheetId="3" r:id="R9ea969f0582c4fa8"/>
    <x:sheet xmlns:r="http://schemas.openxmlformats.org/officeDocument/2006/relationships" name="分层-地质综合" sheetId="4" r:id="R39611a5b609949d2"/>
    <x:sheet xmlns:r="http://schemas.openxmlformats.org/officeDocument/2006/relationships" name="采样" sheetId="5" r:id="Rf6dbaaa43b1a4976"/>
    <x:sheet xmlns:r="http://schemas.openxmlformats.org/officeDocument/2006/relationships" name="自定义测试项目" sheetId="6" r:id="Rd22198fb7d464f8a"/>
    <x:sheet xmlns:r="http://schemas.openxmlformats.org/officeDocument/2006/relationships" name="样品测试结果" sheetId="7" r:id="R020ba430c7a2494e"/>
    <x:sheet xmlns:r="http://schemas.openxmlformats.org/officeDocument/2006/relationships" name="孔深校正及弯曲度" sheetId="8" r:id="R5310c182040e4f24"/>
    <x:sheet xmlns:r="http://schemas.openxmlformats.org/officeDocument/2006/relationships" name="图签" sheetId="9" r:id="R53ff6e6b16424443"/>
    <x:sheet xmlns:r="http://schemas.openxmlformats.org/officeDocument/2006/relationships" name="图面示意" sheetId="10" r:id="Rdd322e3a40ee48bd"/>
    <x:sheet xmlns:r="http://schemas.openxmlformats.org/officeDocument/2006/relationships" name="填写说明" sheetId="11" r:id="R92a5508c509541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@"/>
    <x:numFmt numFmtId="202" formatCode="0.00"/>
    <x:numFmt numFmtId="203" formatCode="0.0"/>
  </x:numFmts>
  <x:fonts count="15">
    <x:font>
      <x:sz val="11"/>
      <x:name val="Carlito"/>
    </x:font>
    <x:font>
      <x:b/>
      <x:sz val="12"/>
      <x:color rgb="FF24332D"/>
      <x:name val="Arial"/>
    </x:font>
    <x:font>
      <x:i/>
      <x:sz val="10"/>
      <x:color rgb="FF66736B"/>
      <x:name val="Arial"/>
    </x:font>
    <x:font>
      <x:b/>
      <x:sz val="10"/>
      <x:color rgb="FF24332D"/>
      <x:name val="Arial"/>
    </x:font>
    <x:font>
      <x:i/>
      <x:sz val="10"/>
      <x:color rgb="FF24332D"/>
      <x:name val="Arial"/>
    </x:font>
    <x:font>
      <x:sz val="10"/>
      <x:color rgb="FF24332D"/>
      <x:name val="Arial"/>
    </x:font>
    <x:font>
      <x:b/>
      <x:sz val="9"/>
      <x:color rgb="FF24332D"/>
      <x:name val="Arial"/>
    </x:font>
    <x:font>
      <x:b/>
      <x:sz val="10"/>
      <x:color rgb="FF355D4A"/>
      <x:name val="Arial"/>
    </x:font>
    <x:font>
      <x:b/>
      <x:sz val="9"/>
      <x:color rgb="FFFFFFFF"/>
      <x:name val="Arial"/>
    </x:font>
    <x:font>
      <x:sz val="9"/>
      <x:color rgb="FF24332D"/>
      <x:name val="Arial"/>
    </x:font>
    <x:font>
      <x:b/>
      <x:sz val="9"/>
      <x:color rgb="FF355D4A"/>
      <x:name val="Arial"/>
    </x:font>
    <x:font>
      <x:sz val="12"/>
      <x:color rgb="FF66736B"/>
      <x:name val="Arial"/>
    </x:font>
    <x:font>
      <x:sz val="8"/>
      <x:color rgb="FF24332D"/>
      <x:name val="Arial"/>
    </x:font>
    <x:font>
      <x:b/>
      <x:sz val="8"/>
      <x:color rgb="FF24332D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1E5D1"/>
      </x:patternFill>
    </x:fill>
    <x:fill>
      <x:patternFill patternType="solid">
        <x:fgColor rgb="FFFFFFFF"/>
      </x:patternFill>
    </x:fill>
    <x:fill>
      <x:patternFill patternType="solid">
        <x:fgColor rgb="FFE5EEE8"/>
      </x:patternFill>
    </x:fill>
    <x:fill>
      <x:patternFill patternType="solid">
        <x:fgColor rgb="FFDCEAF6"/>
      </x:patternFill>
    </x:fill>
    <x:fill>
      <x:patternFill patternType="solid">
        <x:fgColor rgb="FF355D4A"/>
      </x:patternFill>
    </x:fill>
  </x:fills>
  <x:borders count="24">
    <x:border>
      <x:left/>
      <x:right/>
      <x:top/>
      <x:bottom/>
      <x:diagonal/>
    </x:border>
    <x:border>
      <x:left style="thin">
        <x:color rgb="FFD8D6CE"/>
      </x:left>
      <x:right style="thin">
        <x:color rgb="FFD8D6CE"/>
      </x:right>
      <x:top style="thin">
        <x:color rgb="FFD8D6CE"/>
      </x:top>
      <x:bottom style="thin">
        <x:color rgb="FFD8D6CE"/>
      </x:bottom>
      <x:diagonal/>
    </x:border>
    <x:border>
      <x:left style="thin">
        <x:color rgb="FFD8D6CE"/>
      </x:left>
      <x:right/>
      <x:top style="thin">
        <x:color rgb="FFD8D6CE"/>
      </x:top>
      <x:bottom style="thin">
        <x:color rgb="FFD8D6CE"/>
      </x:bottom>
      <x:diagonal/>
    </x:border>
    <x:border>
      <x:left/>
      <x:right/>
      <x:top style="thin">
        <x:color rgb="FFD8D6CE"/>
      </x:top>
      <x:bottom style="thin">
        <x:color rgb="FFD8D6CE"/>
      </x:bottom>
      <x:diagonal/>
    </x:border>
    <x:border>
      <x:left/>
      <x:right style="thin">
        <x:color rgb="FFD8D6CE"/>
      </x:right>
      <x:top style="thin">
        <x:color rgb="FFD8D6CE"/>
      </x:top>
      <x:bottom style="thin">
        <x:color rgb="FFD8D6CE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E6E2DA"/>
      </x:bottom>
      <x:diagonal/>
    </x:border>
    <x:border>
      <x:left/>
      <x:right/>
      <x:top style="thin">
        <x:color rgb="FFE6E2DA"/>
      </x:top>
      <x:bottom style="thin">
        <x:color rgb="FFE6E2DA"/>
      </x:bottom>
      <x:diagonal/>
    </x:border>
    <x:border>
      <x:left/>
      <x:right/>
      <x:top style="thin">
        <x:color rgb="FFE6E2DA"/>
      </x:top>
      <x:bottom style="thin">
        <x:color rgb="FFD8D6CE"/>
      </x:bottom>
      <x:diagonal/>
    </x:border>
    <x:border>
      <x:left style="thin">
        <x:color rgb="FFD8D6CE"/>
      </x:left>
      <x:right style="thin">
        <x:color rgb="FFD8D6CE"/>
      </x:right>
      <x:top style="thin">
        <x:color rgb="FFD8D6CE"/>
      </x:top>
      <x:bottom/>
      <x:diagonal/>
    </x:border>
    <x:border>
      <x:left style="thin">
        <x:color rgb="FFD8D6CE"/>
      </x:left>
      <x:right style="thin">
        <x:color rgb="FFD8D6CE"/>
      </x:right>
      <x:top/>
      <x:bottom/>
      <x:diagonal/>
    </x:border>
    <x:border>
      <x:left style="thin">
        <x:color rgb="FFD8D6CE"/>
      </x:left>
      <x:right style="thin">
        <x:color rgb="FFD8D6CE"/>
      </x:right>
      <x:top/>
      <x:bottom style="thin">
        <x:color rgb="FFD8D6CE"/>
      </x:bottom>
      <x:diagonal/>
    </x:border>
    <x:border>
      <x:left style="thin">
        <x:color rgb="FFD8D6CE"/>
      </x:left>
      <x:right/>
      <x:top style="thin">
        <x:color rgb="FFD8D6CE"/>
      </x:top>
      <x:bottom/>
      <x:diagonal/>
    </x:border>
    <x:border>
      <x:left/>
      <x:right/>
      <x:top style="thin">
        <x:color rgb="FFD8D6CE"/>
      </x:top>
      <x:bottom/>
      <x:diagonal/>
    </x:border>
    <x:border>
      <x:left/>
      <x:right style="thin">
        <x:color rgb="FFD8D6CE"/>
      </x:right>
      <x:top style="thin">
        <x:color rgb="FFD8D6CE"/>
      </x:top>
      <x:bottom/>
      <x:diagonal/>
    </x:border>
    <x:border>
      <x:left style="thin">
        <x:color rgb="FFD8D6CE"/>
      </x:left>
      <x:right/>
      <x:top/>
      <x:bottom/>
      <x:diagonal/>
    </x:border>
    <x:border>
      <x:left/>
      <x:right style="thin">
        <x:color rgb="FFD8D6CE"/>
      </x:right>
      <x:top/>
      <x:bottom/>
      <x:diagonal/>
    </x:border>
    <x:border>
      <x:left style="thin">
        <x:color rgb="FFD8D6CE"/>
      </x:left>
      <x:right/>
      <x:top/>
      <x:bottom style="thin">
        <x:color rgb="FFD8D6CE"/>
      </x:bottom>
      <x:diagonal/>
    </x:border>
    <x:border>
      <x:left/>
      <x:right/>
      <x:top/>
      <x:bottom style="thin">
        <x:color rgb="FFD8D6CE"/>
      </x:bottom>
      <x:diagonal/>
    </x:border>
    <x:border>
      <x:left/>
      <x:right style="thin">
        <x:color rgb="FFD8D6CE"/>
      </x:right>
      <x:top/>
      <x:bottom style="thin">
        <x:color rgb="FFD8D6CE"/>
      </x:bottom>
      <x:diagonal/>
    </x:border>
    <x:border>
      <x:left/>
      <x:right/>
      <x:top style="thin">
        <x:color rgb="FFE6E2DA"/>
      </x:top>
      <x:bottom/>
      <x:diagonal/>
    </x:border>
    <x:border>
      <x:left/>
      <x:right/>
      <x:top/>
      <x:bottom style="thin">
        <x:color rgb="FFFFFFFF"/>
      </x:bottom>
      <x:diagonal/>
    </x:border>
    <x:border>
      <x:left/>
      <x:right/>
      <x:top style="thin">
        <x:color rgb="FFFFFFFF"/>
      </x:top>
      <x:bottom style="thin">
        <x:color rgb="FFFFFFFF"/>
      </x:bottom>
      <x:diagonal/>
    </x:border>
    <x:border>
      <x:left/>
      <x:right/>
      <x:top style="thin">
        <x:color rgb="FFFFFFFF"/>
      </x:top>
      <x:bottom/>
      <x:diagonal/>
    </x:border>
  </x:borders>
  <x:cellStyleXfs count="1">
    <x:xf numFmtId="0" fontId="0" fillId="0" borderId="0"/>
  </x:cellStyleXfs>
  <x:cellXfs count="1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200" fontId="5" fillId="3" borderId="1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6" borderId="5" xfId="0" applyNumberFormat="1" applyFont="1" applyFill="1" applyBorder="1" applyAlignment="1">
      <x:alignment vertical="center" wrapText="1"/>
    </x:xf>
    <x:xf numFmtId="0" fontId="8" fillId="6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6" xfId="0" applyNumberFormat="1" applyFont="1" applyFill="1" applyBorder="1" applyAlignment="1">
      <x:alignment vertical="center" wrapText="1"/>
    </x:xf>
    <x:xf numFmtId="0" fontId="9" fillId="0" borderId="7" xfId="0" applyNumberFormat="1" applyFont="1" applyFill="1" applyBorder="1" applyAlignment="1">
      <x:alignment vertical="center" wrapText="1"/>
    </x:xf>
    <x:xf numFmtId="0" fontId="9" fillId="0" borderId="8" xfId="0" applyNumberFormat="1" applyFont="1" applyFill="1" applyBorder="1" applyAlignment="1">
      <x:alignment vertical="center" wrapText="1"/>
    </x:xf>
    <x:xf numFmtId="0" fontId="7" fillId="2" borderId="2" xfId="0" applyNumberFormat="1" applyFont="1" applyFill="1" applyBorder="1" applyAlignment="1">
      <x:alignment vertical="center" wrapText="1"/>
    </x:xf>
    <x:xf numFmtId="0" fontId="10" fillId="2" borderId="2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 applyAlignment="1">
      <x:alignment vertical="center" wrapText="1"/>
    </x:xf>
    <x:xf numFmtId="0" fontId="7" fillId="2" borderId="3" xfId="0" applyNumberFormat="1" applyFont="1" applyFill="1" applyBorder="1" applyAlignment="1">
      <x:alignment vertical="center" wrapText="1"/>
    </x:xf>
    <x:xf numFmtId="0" fontId="10" fillId="2" borderId="3" xfId="0" applyNumberFormat="1" applyFont="1" applyFill="1" applyBorder="1" applyAlignment="1">
      <x:alignment vertical="center" wrapText="1"/>
    </x:xf>
    <x:xf numFmtId="0" fontId="7" fillId="5" borderId="3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9" fillId="3" borderId="6" xfId="0" applyNumberFormat="1" applyFont="1" applyFill="1" applyBorder="1" applyAlignment="1">
      <x:alignment vertical="center" wrapText="1"/>
    </x:xf>
    <x:xf numFmtId="0" fontId="9" fillId="3" borderId="7" xfId="0" applyNumberFormat="1" applyFont="1" applyFill="1" applyBorder="1" applyAlignment="1">
      <x:alignment vertical="center" wrapText="1"/>
    </x:xf>
    <x:xf numFmtId="0" fontId="9" fillId="3" borderId="8" xfId="0" applyNumberFormat="1" applyFont="1" applyFill="1" applyBorder="1" applyAlignment="1">
      <x:alignment vertical="center" wrapText="1"/>
    </x:xf>
    <x:xf numFmtId="0" fontId="9" fillId="5" borderId="6" xfId="0" applyNumberFormat="1" applyFont="1" applyFill="1" applyBorder="1" applyAlignment="1">
      <x:alignment vertical="center" wrapText="1"/>
    </x:xf>
    <x:xf numFmtId="0" fontId="9" fillId="5" borderId="7" xfId="0" applyNumberFormat="1" applyFont="1" applyFill="1" applyBorder="1" applyAlignment="1">
      <x:alignment vertical="center" wrapText="1"/>
    </x:xf>
    <x:xf numFmtId="0" fontId="9" fillId="5" borderId="8" xfId="0" applyNumberFormat="1" applyFont="1" applyFill="1" applyBorder="1" applyAlignment="1">
      <x:alignment vertical="center" wrapText="1"/>
    </x:xf>
    <x:xf numFmtId="0" fontId="9" fillId="5" borderId="6" xfId="0" applyNumberFormat="1" applyFont="1" applyFill="1" applyBorder="1" applyAlignment="1">
      <x:alignment horizontal="center" vertical="center" wrapText="1"/>
    </x:xf>
    <x:xf numFmtId="0" fontId="9" fillId="5" borderId="7" xfId="0" applyNumberFormat="1" applyFont="1" applyFill="1" applyBorder="1" applyAlignment="1">
      <x:alignment horizontal="center" vertical="center" wrapText="1"/>
    </x:xf>
    <x:xf numFmtId="0" fontId="9" fillId="5" borderId="8" xfId="0" applyNumberFormat="1" applyFont="1" applyFill="1" applyBorder="1" applyAlignment="1">
      <x:alignment horizontal="center" vertical="center" wrapText="1"/>
    </x:xf>
    <x:xf numFmtId="201" fontId="9" fillId="3" borderId="6" xfId="0" applyNumberFormat="1" applyFont="1" applyFill="1" applyBorder="1" applyAlignment="1">
      <x:alignment vertical="center" wrapText="1"/>
    </x:xf>
    <x:xf numFmtId="201" fontId="9" fillId="3" borderId="7" xfId="0" applyNumberFormat="1" applyFont="1" applyFill="1" applyBorder="1" applyAlignment="1">
      <x:alignment vertical="center" wrapText="1"/>
    </x:xf>
    <x:xf numFmtId="201" fontId="9" fillId="3" borderId="8" xfId="0" applyNumberFormat="1" applyFont="1" applyFill="1" applyBorder="1" applyAlignment="1">
      <x:alignment vertical="center" wrapText="1"/>
    </x:xf>
    <x:xf numFmtId="202" fontId="9" fillId="3" borderId="6" xfId="0" applyNumberFormat="1" applyFont="1" applyFill="1" applyBorder="1" applyAlignment="1">
      <x:alignment vertical="center" wrapText="1"/>
    </x:xf>
    <x:xf numFmtId="202" fontId="9" fillId="3" borderId="7" xfId="0" applyNumberFormat="1" applyFont="1" applyFill="1" applyBorder="1" applyAlignment="1">
      <x:alignment vertical="center" wrapText="1"/>
    </x:xf>
    <x:xf numFmtId="202" fontId="9" fillId="3" borderId="8" xfId="0" applyNumberFormat="1" applyFont="1" applyFill="1" applyBorder="1" applyAlignment="1">
      <x:alignment vertical="center" wrapText="1"/>
    </x:xf>
    <x:xf numFmtId="202" fontId="9" fillId="5" borderId="6" xfId="0" applyNumberFormat="1" applyFont="1" applyFill="1" applyBorder="1" applyAlignment="1">
      <x:alignment horizontal="center" vertical="center" wrapText="1"/>
    </x:xf>
    <x:xf numFmtId="202" fontId="9" fillId="5" borderId="7" xfId="0" applyNumberFormat="1" applyFont="1" applyFill="1" applyBorder="1" applyAlignment="1">
      <x:alignment horizontal="center" vertical="center" wrapText="1"/>
    </x:xf>
    <x:xf numFmtId="202" fontId="9" fillId="5" borderId="8" xfId="0" applyNumberFormat="1" applyFont="1" applyFill="1" applyBorder="1" applyAlignment="1">
      <x:alignment horizontal="center" vertical="center" wrapText="1"/>
    </x:xf>
    <x:xf numFmtId="200" fontId="9" fillId="3" borderId="6" xfId="0" applyNumberFormat="1" applyFont="1" applyFill="1" applyBorder="1" applyAlignment="1">
      <x:alignment vertical="center" wrapText="1"/>
    </x:xf>
    <x:xf numFmtId="200" fontId="9" fillId="3" borderId="7" xfId="0" applyNumberFormat="1" applyFont="1" applyFill="1" applyBorder="1" applyAlignment="1">
      <x:alignment vertical="center" wrapText="1"/>
    </x:xf>
    <x:xf numFmtId="200" fontId="9" fillId="3" borderId="8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9" xfId="0" applyNumberFormat="1" applyFont="1" applyFill="1" applyBorder="1" applyAlignment="1">
      <x:alignment vertical="center" wrapText="1"/>
    </x:xf>
    <x:xf numFmtId="0" fontId="5" fillId="3" borderId="10" xfId="0" applyNumberFormat="1" applyFont="1" applyFill="1" applyBorder="1" applyAlignment="1">
      <x:alignment vertical="center" wrapText="1"/>
    </x:xf>
    <x:xf numFmtId="0" fontId="5" fillId="3" borderId="1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5" xfId="0" applyNumberFormat="1" applyFont="1" applyFill="1" applyBorder="1"/>
    <x:xf numFmtId="0" fontId="8" fillId="6" borderId="5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/>
    <x:xf numFmtId="0" fontId="9" fillId="0" borderId="6" xfId="0" applyNumberFormat="1" applyFont="1" applyFill="1" applyBorder="1"/>
    <x:xf numFmtId="0" fontId="9" fillId="0" borderId="7" xfId="0" applyNumberFormat="1" applyFont="1" applyFill="1" applyBorder="1"/>
    <x:xf numFmtId="0" fontId="9" fillId="0" borderId="8" xfId="0" applyNumberFormat="1" applyFont="1" applyFill="1" applyBorder="1"/>
    <x:xf numFmtId="0" fontId="9" fillId="0" borderId="6" xfId="0" applyNumberFormat="1" applyFont="1" applyFill="1" applyBorder="1" applyAlignment="1">
      <x:alignment wrapText="1"/>
    </x:xf>
    <x:xf numFmtId="0" fontId="9" fillId="0" borderId="7" xfId="0" applyNumberFormat="1" applyFont="1" applyFill="1" applyBorder="1" applyAlignment="1">
      <x:alignment wrapText="1"/>
    </x:xf>
    <x:xf numFmtId="0" fontId="9" fillId="0" borderId="8" xfId="0" applyNumberFormat="1" applyFont="1" applyFill="1" applyBorder="1" applyAlignment="1">
      <x:alignment wrapText="1"/>
    </x:xf>
    <x:xf numFmtId="203" fontId="9" fillId="0" borderId="6" xfId="0" applyNumberFormat="1" applyFont="1" applyFill="1" applyBorder="1" applyAlignment="1">
      <x:alignment vertical="center" wrapText="1"/>
    </x:xf>
    <x:xf numFmtId="203" fontId="9" fillId="0" borderId="7" xfId="0" applyNumberFormat="1" applyFont="1" applyFill="1" applyBorder="1" applyAlignment="1">
      <x:alignment vertical="center" wrapText="1"/>
    </x:xf>
    <x:xf numFmtId="203" fontId="9" fillId="5" borderId="8" xfId="0" applyNumberFormat="1" applyFont="1" applyFill="1" applyBorder="1" applyAlignment="1">
      <x:alignment horizontal="center" vertical="center" wrapText="1"/>
    </x:xf>
    <x:xf numFmtId="203" fontId="9" fillId="3" borderId="6" xfId="0" applyNumberFormat="1" applyFont="1" applyFill="1" applyBorder="1" applyAlignment="1">
      <x:alignment vertical="center" wrapText="1"/>
    </x:xf>
    <x:xf numFmtId="203" fontId="9" fillId="3" borderId="7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 applyAlignment="1">
      <x:alignment vertical="center" wrapText="1"/>
    </x:xf>
    <x:xf numFmtId="0" fontId="11" fillId="3" borderId="12" xfId="0" applyNumberFormat="1" applyFont="1" applyFill="1" applyBorder="1" applyAlignment="1">
      <x:alignment vertical="center" wrapText="1"/>
    </x:xf>
    <x:xf numFmtId="0" fontId="11" fillId="3" borderId="13" xfId="0" applyNumberFormat="1" applyFont="1" applyFill="1" applyBorder="1" applyAlignment="1">
      <x:alignment vertical="center" wrapText="1"/>
    </x:xf>
    <x:xf numFmtId="0" fontId="11" fillId="3" borderId="14" xfId="0" applyNumberFormat="1" applyFont="1" applyFill="1" applyBorder="1" applyAlignment="1">
      <x:alignment vertical="center" wrapText="1"/>
    </x:xf>
    <x:xf numFmtId="0" fontId="11" fillId="3" borderId="15" xfId="0" applyNumberFormat="1" applyFont="1" applyFill="1" applyBorder="1" applyAlignment="1">
      <x:alignment vertical="center" wrapText="1"/>
    </x:xf>
    <x:xf numFmtId="0" fontId="11" fillId="3" borderId="16" xfId="0" applyNumberFormat="1" applyFont="1" applyFill="1" applyBorder="1" applyAlignment="1">
      <x:alignment vertical="center" wrapText="1"/>
    </x:xf>
    <x:xf numFmtId="0" fontId="11" fillId="3" borderId="17" xfId="0" applyNumberFormat="1" applyFont="1" applyFill="1" applyBorder="1" applyAlignment="1">
      <x:alignment vertical="center" wrapText="1"/>
    </x:xf>
    <x:xf numFmtId="0" fontId="11" fillId="3" borderId="18" xfId="0" applyNumberFormat="1" applyFont="1" applyFill="1" applyBorder="1" applyAlignment="1">
      <x:alignment vertical="center" wrapText="1"/>
    </x:xf>
    <x:xf numFmtId="0" fontId="11" fillId="3" borderId="19" xfId="0" applyNumberFormat="1" applyFont="1" applyFill="1" applyBorder="1" applyAlignment="1">
      <x:alignment vertical="center" wrapText="1"/>
    </x:xf>
    <x:xf numFmtId="0" fontId="11" fillId="3" borderId="12" xfId="0" applyNumberFormat="1" applyFont="1" applyFill="1" applyBorder="1" applyAlignment="1">
      <x:alignment horizontal="center" vertical="center" wrapText="1"/>
    </x:xf>
    <x:xf numFmtId="0" fontId="11" fillId="3" borderId="13" xfId="0" applyNumberFormat="1" applyFont="1" applyFill="1" applyBorder="1" applyAlignment="1">
      <x:alignment horizontal="center" vertical="center" wrapText="1"/>
    </x:xf>
    <x:xf numFmtId="0" fontId="11" fillId="3" borderId="14" xfId="0" applyNumberFormat="1" applyFont="1" applyFill="1" applyBorder="1" applyAlignment="1">
      <x:alignment horizontal="center" vertical="center" wrapText="1"/>
    </x:xf>
    <x:xf numFmtId="0" fontId="11" fillId="3" borderId="15" xfId="0" applyNumberFormat="1" applyFont="1" applyFill="1" applyBorder="1" applyAlignment="1">
      <x:alignment horizontal="center" vertical="center" wrapText="1"/>
    </x:xf>
    <x:xf numFmtId="0" fontId="11" fillId="3" borderId="0" xfId="0" applyNumberFormat="1" applyFont="1" applyFill="1" applyBorder="1" applyAlignment="1">
      <x:alignment horizontal="center" vertical="center" wrapText="1"/>
    </x:xf>
    <x:xf numFmtId="0" fontId="11" fillId="3" borderId="16" xfId="0" applyNumberFormat="1" applyFont="1" applyFill="1" applyBorder="1" applyAlignment="1">
      <x:alignment horizontal="center" vertical="center" wrapText="1"/>
    </x:xf>
    <x:xf numFmtId="0" fontId="11" fillId="3" borderId="17" xfId="0" applyNumberFormat="1" applyFont="1" applyFill="1" applyBorder="1" applyAlignment="1">
      <x:alignment horizontal="center" vertical="center" wrapText="1"/>
    </x:xf>
    <x:xf numFmtId="0" fontId="11" fillId="3" borderId="18" xfId="0" applyNumberFormat="1" applyFont="1" applyFill="1" applyBorder="1" applyAlignment="1">
      <x:alignment horizontal="center" vertical="center" wrapText="1"/>
    </x:xf>
    <x:xf numFmtId="0" fontId="11" fillId="3" borderId="19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 applyAlignment="1">
      <x:alignment vertical="center" wrapText="1"/>
    </x:xf>
    <x:xf numFmtId="0" fontId="12" fillId="5" borderId="6" xfId="0" applyNumberFormat="1" applyFont="1" applyFill="1" applyBorder="1" applyAlignment="1">
      <x:alignment vertical="center" wrapText="1"/>
    </x:xf>
    <x:xf numFmtId="0" fontId="12" fillId="5" borderId="7" xfId="0" applyNumberFormat="1" applyFont="1" applyFill="1" applyBorder="1" applyAlignment="1">
      <x:alignment vertical="center" wrapText="1"/>
    </x:xf>
    <x:xf numFmtId="0" fontId="12" fillId="5" borderId="20" xfId="0" applyNumberFormat="1" applyFont="1" applyFill="1" applyBorder="1" applyAlignment="1">
      <x:alignment vertical="center" wrapText="1"/>
    </x:xf>
    <x:xf numFmtId="0" fontId="13" fillId="2" borderId="0" xfId="0" applyNumberFormat="1" applyFont="1" applyFill="1" applyBorder="1" applyAlignment="1">
      <x:alignment vertical="center" wrapText="1"/>
    </x:xf>
    <x:xf numFmtId="0" fontId="13" fillId="2" borderId="1" xfId="0" applyNumberFormat="1" applyFont="1" applyFill="1" applyBorder="1" applyAlignment="1">
      <x:alignment vertical="center" wrapText="1"/>
    </x:xf>
    <x:xf numFmtId="0" fontId="5" fillId="2" borderId="4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14" fillId="6" borderId="0" xfId="0" applyNumberFormat="1" applyFont="1" applyFill="1" applyBorder="1" applyAlignment="1">
      <x:alignment vertical="center" wrapText="1"/>
    </x:xf>
    <x:xf numFmtId="0" fontId="14" fillId="6" borderId="21" xfId="0" applyNumberFormat="1" applyFont="1" applyFill="1" applyBorder="1" applyAlignment="1">
      <x:alignment vertical="center" wrapText="1"/>
    </x:xf>
    <x:xf numFmtId="0" fontId="14" fillId="6" borderId="22" xfId="0" applyNumberFormat="1" applyFont="1" applyFill="1" applyBorder="1" applyAlignment="1">
      <x:alignment vertical="center" wrapText="1"/>
    </x:xf>
    <x:xf numFmtId="0" fontId="14" fillId="6" borderId="23" xfId="0" applyNumberFormat="1" applyFont="1" applyFill="1" applyBorder="1" applyAlignment="1">
      <x:alignment vertical="center" wrapText="1"/>
    </x:xf>
    <x:xf numFmtId="0" fontId="14" fillId="6" borderId="21" xfId="0" applyNumberFormat="1" applyFont="1" applyFill="1" applyBorder="1" applyAlignment="1">
      <x:alignment horizontal="center" vertical="center" wrapText="1"/>
    </x:xf>
    <x:xf numFmtId="0" fontId="14" fillId="6" borderId="22" xfId="0" applyNumberFormat="1" applyFont="1" applyFill="1" applyBorder="1" applyAlignment="1">
      <x:alignment horizontal="center" vertical="center" wrapText="1"/>
    </x:xf>
    <x:xf numFmtId="0" fontId="14" fillId="6" borderId="23" xfId="0" applyNumberFormat="1" applyFont="1" applyFill="1" applyBorder="1" applyAlignment="1">
      <x:alignment horizontal="center" vertical="center" wrapText="1"/>
    </x:xf>
    <x:xf numFmtId="0" fontId="5" fillId="3" borderId="18" xfId="0" applyNumberFormat="1" applyFont="1" applyFill="1" applyBorder="1" applyAlignment="1">
      <x:alignment vertical="center" wrapText="1"/>
    </x:xf>
    <x:xf numFmtId="0" fontId="5" fillId="3" borderId="1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fa45fa6c484bc2" /><Relationship Type="http://schemas.openxmlformats.org/officeDocument/2006/relationships/theme" Target="/xl/theme/theme1.xml" Id="Rc297b40708204d7d" /><Relationship Type="http://schemas.openxmlformats.org/officeDocument/2006/relationships/sharedStrings" Target="/xl/sharedStrings.xml" Id="R97eca1ca342e4cb5" /><Relationship Type="http://schemas.openxmlformats.org/officeDocument/2006/relationships/worksheet" Target="/xl/worksheets/sheet1.xml" Id="R56bfc534d2374c2b" /><Relationship Type="http://schemas.openxmlformats.org/officeDocument/2006/relationships/worksheet" Target="/xl/worksheets/sheet2.xml" Id="R5aaa6e4a4ef24127" /><Relationship Type="http://schemas.openxmlformats.org/officeDocument/2006/relationships/worksheet" Target="/xl/worksheets/sheet3.xml" Id="R9ea969f0582c4fa8" /><Relationship Type="http://schemas.openxmlformats.org/officeDocument/2006/relationships/worksheet" Target="/xl/worksheets/sheet4.xml" Id="R39611a5b609949d2" /><Relationship Type="http://schemas.openxmlformats.org/officeDocument/2006/relationships/worksheet" Target="/xl/worksheets/sheet5.xml" Id="Rf6dbaaa43b1a4976" /><Relationship Type="http://schemas.openxmlformats.org/officeDocument/2006/relationships/worksheet" Target="/xl/worksheets/sheet6.xml" Id="Rd22198fb7d464f8a" /><Relationship Type="http://schemas.openxmlformats.org/officeDocument/2006/relationships/worksheet" Target="/xl/worksheets/sheet7.xml" Id="R020ba430c7a2494e" /><Relationship Type="http://schemas.openxmlformats.org/officeDocument/2006/relationships/worksheet" Target="/xl/worksheets/sheet8.xml" Id="R5310c182040e4f24" /><Relationship Type="http://schemas.openxmlformats.org/officeDocument/2006/relationships/worksheet" Target="/xl/worksheets/sheet9.xml" Id="R53ff6e6b16424443" /><Relationship Type="http://schemas.openxmlformats.org/officeDocument/2006/relationships/worksheet" Target="/xl/worksheets/sheet10.xml" Id="Rdd322e3a40ee48bd" /><Relationship Type="http://schemas.openxmlformats.org/officeDocument/2006/relationships/worksheet" Target="/xl/worksheets/sheet11.xml" Id="R92a5508c509541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8" hidden="0" customWidth="1"/>
    <x:col min="5" max="5" width="16" hidden="0" customWidth="1"/>
    <x:col min="6" max="6" width="18" hidden="0" customWidth="1"/>
    <x:col min="7" max="7" width="16" hidden="0" customWidth="1"/>
    <x:col min="8" max="8" width="22" hidden="0" customWidth="1"/>
  </x:cols>
  <x:sheetData>
    <x:row r="1" ht="24" customHeight="1">
      <x:c r="A1" s="3" t="str">
        <x:v>钻孔基本信息与汇总</x:v>
      </x:c>
      <x:c r="B1" s="3"/>
      <x:c r="C1" s="3"/>
      <x:c r="D1" s="3"/>
      <x:c r="E1" s="3"/>
      <x:c r="F1" s="3"/>
      <x:c r="G1" s="3"/>
      <x:c r="H1" s="3"/>
    </x:row>
    <x:row r="2" ht="32" customHeight="1">
      <x:c r="A2" s="6" t="str">
        <x:v>白色单元格手填；浅蓝单元格为公式汇总。孔号、深度基准和坐标系由使用者确认。</x:v>
      </x:c>
      <x:c r="B2" s="6"/>
      <x:c r="C2" s="6"/>
      <x:c r="D2" s="6"/>
      <x:c r="E2" s="6"/>
      <x:c r="F2" s="6"/>
      <x:c r="G2" s="6"/>
      <x:c r="H2" s="6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>
      <x:c r="A4" s="14" t="str">
        <x:v>矿区</x:v>
      </x:c>
      <x:c r="B4" s="16"/>
      <x:c r="C4" s="14" t="str">
        <x:v>线号</x:v>
      </x:c>
      <x:c r="D4" s="16"/>
      <x:c r="E4" s="14" t="str">
        <x:v>钻孔编号</x:v>
      </x:c>
      <x:c r="F4" s="16"/>
      <x:c r="G4" s="14" t="str">
        <x:v>项目名称</x:v>
      </x:c>
      <x:c r="H4" s="16"/>
    </x:row>
    <x:row r="5">
      <x:c r="A5" s="14" t="str">
        <x:v>开孔日期</x:v>
      </x:c>
      <x:c r="B5" s="27"/>
      <x:c r="C5" s="14" t="str">
        <x:v>终孔日期</x:v>
      </x:c>
      <x:c r="D5" s="27"/>
      <x:c r="E5" s="14" t="str">
        <x:v>终孔深度_m</x:v>
      </x:c>
      <x:c r="F5" s="16"/>
      <x:c r="G5" s="14" t="str">
        <x:v>孔深基准</x:v>
      </x:c>
      <x:c r="H5" s="16"/>
    </x:row>
    <x:row r="6">
      <x:c r="A6" s="14" t="str">
        <x:v>设计方位角_deg</x:v>
      </x:c>
      <x:c r="B6" s="16"/>
      <x:c r="C6" s="14" t="str">
        <x:v>倾角_deg</x:v>
      </x:c>
      <x:c r="D6" s="16"/>
      <x:c r="E6" s="14" t="str">
        <x:v>X坐标_m</x:v>
      </x:c>
      <x:c r="F6" s="16"/>
      <x:c r="G6" s="14" t="str">
        <x:v>Y坐标_m</x:v>
      </x:c>
      <x:c r="H6" s="16"/>
    </x:row>
    <x:row r="7">
      <x:c r="A7" s="14" t="str">
        <x:v>孔口标高_m</x:v>
      </x:c>
      <x:c r="B7" s="16"/>
      <x:c r="C7" s="14" t="str">
        <x:v>坐标系</x:v>
      </x:c>
      <x:c r="D7" s="16"/>
      <x:c r="E7" s="14" t="str">
        <x:v>角度定义</x:v>
      </x:c>
      <x:c r="F7" s="16"/>
      <x:c r="G7" s="14" t="str">
        <x:v>比例尺分母</x:v>
      </x:c>
      <x:c r="H7" s="16"/>
    </x:row>
    <x:row r="8">
      <x:c r="A8" s="14" t="str">
        <x:v>备注</x:v>
      </x:c>
      <x:c r="B8" s="16"/>
      <x:c r="C8" s="11"/>
      <x:c r="D8" s="11"/>
      <x:c r="E8" s="11"/>
      <x:c r="F8" s="11"/>
      <x:c r="G8" s="11"/>
      <x:c r="H8" s="11"/>
    </x:row>
    <x:row r="9">
      <x:c r="A9" s="11"/>
      <x:c r="B9" s="11"/>
      <x:c r="C9" s="11"/>
      <x:c r="D9" s="11"/>
      <x:c r="E9" s="11"/>
      <x:c r="F9" s="11"/>
      <x:c r="G9" s="11"/>
      <x:c r="H9" s="11"/>
    </x:row>
    <x:row r="10">
      <x:c r="A10" s="11"/>
      <x:c r="B10" s="11"/>
      <x:c r="C10" s="11"/>
      <x:c r="D10" s="11"/>
      <x:c r="E10" s="11"/>
      <x:c r="F10" s="11"/>
      <x:c r="G10" s="11"/>
      <x:c r="H10" s="11"/>
    </x:row>
    <x:row r="11">
      <x:c r="A11" s="20" t="str">
        <x:v>数据概况（数量自动计数；终孔深度为空时保持空白）</x:v>
      </x:c>
      <x:c r="B11" s="21"/>
      <x:c r="C11" s="21"/>
      <x:c r="D11" s="21"/>
      <x:c r="E11" s="21"/>
      <x:c r="F11" s="21"/>
      <x:c r="G11" s="21"/>
      <x:c r="H11" s="22"/>
    </x:row>
    <x:row r="12" ht="30" customHeight="1">
      <x:c r="A12" s="14" t="str">
        <x:v>回次记录数</x:v>
      </x:c>
      <x:c r="B12" s="25" t="n">
        <x:f>COUNTIF('回次表'!B6:B25,"&lt;&gt;")</x:f>
        <x:v>0</x:v>
      </x:c>
      <x:c r="C12" s="14" t="str">
        <x:v>分层记录数</x:v>
      </x:c>
      <x:c r="D12" s="25" t="n">
        <x:f>COUNTIF('分层-原始记录'!B6:B25,"&lt;&gt;")</x:f>
        <x:v>0</x:v>
      </x:c>
      <x:c r="E12" s="14" t="str">
        <x:v>样品编号数</x:v>
      </x:c>
      <x:c r="F12" s="25" t="n">
        <x:f>COUNTIF('采样'!B6:B25,"&lt;&gt;")</x:f>
        <x:v>0</x:v>
      </x:c>
      <x:c r="G12" s="14" t="str">
        <x:v>测试结果行数</x:v>
      </x:c>
      <x:c r="H12" s="25" t="n">
        <x:f>COUNTIF('样品测试结果'!A6:A25,"&lt;&gt;")</x:f>
        <x:v>0</x:v>
      </x:c>
    </x:row>
    <x:row r="13" ht="30" customHeight="1">
      <x:c r="A13" s="14" t="str">
        <x:v>孔深/弯曲测点数</x:v>
      </x:c>
      <x:c r="B13" s="25" t="n">
        <x:f>COUNTIF('孔深校正及弯曲度'!B8:B25,"&lt;&gt;")</x:f>
        <x:v>0</x:v>
      </x:c>
      <x:c r="C13" s="14" t="str">
        <x:v>累计回次进尺_m</x:v>
      </x:c>
      <x:c r="D13" s="25" t="str">
        <x:f>IF(COUNT('回次表'!D6:D25)=0,"",SUM('回次表'!D6:D25))</x:f>
      </x:c>
      <x:c r="E13" s="14" t="str">
        <x:v>累计处理岩心_m</x:v>
      </x:c>
      <x:c r="F13" s="25" t="str">
        <x:f>IF(COUNT('回次表'!H6:H25)=0,"",SUM('回次表'!H6:H25))</x:f>
      </x:c>
      <x:c r="G13" s="14" t="str">
        <x:v>终孔深度_m</x:v>
      </x:c>
      <x:c r="H13" s="25" t="str">
        <x:f>IF(F5="","",F5)</x:f>
      </x:c>
    </x:row>
    <x:row r="14" ht="30" customHeight="1">
      <x:c r="A14" s="14" t="str">
        <x:v>标志面数</x:v>
      </x:c>
      <x:c r="B14" s="26"/>
      <x:c r="C14" s="14" t="str">
        <x:v>分析项目数</x:v>
      </x:c>
      <x:c r="D14" s="25" t="n">
        <x:f>COUNTIF('自定义测试项目'!A6:A25,"&lt;&gt;")</x:f>
        <x:v>0</x:v>
      </x:c>
      <x:c r="E14" s="14" t="str">
        <x:v>钻孔结构数</x:v>
      </x:c>
      <x:c r="F14" s="26"/>
      <x:c r="G14" s="14" t="str">
        <x:v>简易水文数</x:v>
      </x:c>
      <x:c r="H14" s="26"/>
    </x:row>
    <x:row r="15" ht="30" customHeight="1">
      <x:c r="A15" s="14" t="str">
        <x:v>压缩米数</x:v>
      </x:c>
      <x:c r="B15" s="26"/>
      <x:c r="C15" s="11"/>
      <x:c r="D15" s="11"/>
      <x:c r="E15" s="11"/>
      <x:c r="F15" s="11"/>
      <x:c r="G15" s="11"/>
      <x:c r="H15" s="11"/>
    </x:row>
  </x:sheetData>
  <x:mergeCells>
    <x:mergeCell ref="A1:H1"/>
    <x:mergeCell ref="A2:H2"/>
    <x:mergeCell ref="B8:H9"/>
    <x:mergeCell ref="A11:H11"/>
  </x:mergeCells>
  <x:dataValidations count="1">
    <x:dataValidation type="list" sqref="H5">
      <x:formula1>"原始沿孔深,校正沿孔深"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7" hidden="0" customWidth="1"/>
    <x:col min="4" max="4" width="15" hidden="0" customWidth="1"/>
    <x:col min="5" max="5" width="14" hidden="0" customWidth="1"/>
    <x:col min="6" max="6" width="14" hidden="0" customWidth="1"/>
    <x:col min="7" max="7" width="12" hidden="0" customWidth="1"/>
    <x:col min="8" max="8" width="18" hidden="0" customWidth="1"/>
    <x:col min="9" max="9" width="17" hidden="0" customWidth="1"/>
    <x:col min="10" max="10" width="19" hidden="0" customWidth="1"/>
    <x:col min="11" max="11" width="15" hidden="0" customWidth="1"/>
    <x:col min="12" max="12" width="17" hidden="0" customWidth="1"/>
    <x:col min="13" max="13" width="15" hidden="0" customWidth="1"/>
    <x:col min="14" max="14" width="15" hidden="0" customWidth="1"/>
    <x:col min="15" max="15" width="15" hidden="0" customWidth="1"/>
    <x:col min="16" max="16" width="24" hidden="0" customWidth="1"/>
    <x:col min="17" max="17" width="18" hidden="0" customWidth="1"/>
  </x:cols>
  <x:sheetData>
    <x:row r="1" ht="24" customHeight="1">
      <x:c r="A1" s="3" t="str">
        <x:v>回次表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2" customHeight="1">
      <x:c r="A2" s="6" t="str">
        <x:v>回次数按回次号计数。处理后岩心长为原始手填；计算采取率仅在进尺为正且字段有值时显示。不自动计算RQD或深度校正。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</x:row>
    <x:row r="4">
      <x:c r="A4" s="38" t="str">
        <x:v>回次记录数</x:v>
      </x:c>
      <x:c r="B4" s="42" t="n">
        <x:f>COUNTIF(B6:B25,"&lt;&gt;")</x:f>
        <x:v>0</x:v>
      </x:c>
      <x:c r="C4" s="38" t="str">
        <x:v>累计回次进尺_m</x:v>
      </x:c>
      <x:c r="D4" s="42" t="str">
        <x:f>IF(COUNT(D6:D25)=0,"",SUM(D6:D25))</x:f>
      </x:c>
      <x:c r="E4" s="38" t="str">
        <x:v>累计处理岩心_m</x:v>
      </x:c>
      <x:c r="F4" s="42" t="str">
        <x:f>IF(COUNT(H6:H25)=0,"",SUM(H6:H25))</x:f>
      </x:c>
      <x:c r="G4" s="38" t="str">
        <x:v>加权采取率_pct（计算）</x:v>
      </x:c>
      <x:c r="H4" s="42" t="str">
        <x:f>IF(OR(COUNT(D6:D25)=0,COUNT(H6:H25)=0,SUM(D6:D25)=0),"",SUM(H6:H25)/SUM(D6:D25)*100)</x:f>
      </x:c>
      <x:c r="I4" s="21"/>
      <x:c r="J4" s="21"/>
      <x:c r="K4" s="21"/>
      <x:c r="L4" s="21"/>
      <x:c r="M4" s="21"/>
      <x:c r="N4" s="21"/>
      <x:c r="O4" s="21"/>
      <x:c r="P4" s="21"/>
      <x:c r="Q4" s="22"/>
    </x:row>
    <x:row r="5" ht="34" customHeight="1">
      <x:c r="A5" s="31" t="str">
        <x:v>序号</x:v>
      </x:c>
      <x:c r="B5" s="31" t="str">
        <x:v>回次号</x:v>
      </x:c>
      <x:c r="C5" s="31" t="str">
        <x:v>下界记录孔深_m</x:v>
      </x:c>
      <x:c r="D5" s="31" t="str">
        <x:v>回次进尺_m</x:v>
      </x:c>
      <x:c r="E5" s="31" t="str">
        <x:v>采取块数/原记</x:v>
      </x:c>
      <x:c r="F5" s="31" t="str">
        <x:v>岩心长度_m</x:v>
      </x:c>
      <x:c r="G5" s="31" t="str">
        <x:v>残留_m</x:v>
      </x:c>
      <x:c r="H5" s="31" t="str">
        <x:v>处理后岩心长_m（手填）</x:v>
      </x:c>
      <x:c r="I5" s="31" t="str">
        <x:v>回次采取率_pct（原填）</x:v>
      </x:c>
      <x:c r="J5" s="31" t="str">
        <x:v>回次采取率_pct（计算）</x:v>
      </x:c>
      <x:c r="K5" s="31" t="str">
        <x:v>孔深校正量_m</x:v>
      </x:c>
      <x:c r="L5" s="31" t="str">
        <x:v>下界校正孔深_m</x:v>
      </x:c>
      <x:c r="M5" s="31" t="str">
        <x:v>≤10cm岩心长度_m</x:v>
      </x:c>
      <x:c r="N5" s="31" t="str">
        <x:v>≥10cm岩心长度_m</x:v>
      </x:c>
      <x:c r="O5" s="31" t="str">
        <x:v>RQD_pct（原填）</x:v>
      </x:c>
      <x:c r="P5" s="31" t="str">
        <x:v>备注</x:v>
      </x:c>
      <x:c r="Q5" s="31" t="str">
        <x:v>长度核对提示</x:v>
      </x:c>
    </x:row>
    <x:row r="6" ht="23" customHeight="1">
      <x:c r="A6" s="49" t="str">
        <x:f>IF(B6="","",ROW()-5)</x:f>
      </x:c>
      <x:c r="B6" s="52"/>
      <x:c r="C6" s="55"/>
      <x:c r="D6" s="55"/>
      <x:c r="E6" s="52"/>
      <x:c r="F6" s="55"/>
      <x:c r="G6" s="55"/>
      <x:c r="H6" s="55"/>
      <x:c r="I6" s="55"/>
      <x:c r="J6" s="58" t="str">
        <x:f>IF(OR(D6="",H6="",D6&lt;=0),"",H6/D6*100)</x:f>
      </x:c>
      <x:c r="K6" s="55"/>
      <x:c r="L6" s="55"/>
      <x:c r="M6" s="55"/>
      <x:c r="N6" s="55"/>
      <x:c r="O6" s="55"/>
      <x:c r="P6" s="43"/>
      <x:c r="Q6" s="49" t="str">
        <x:f>IF(OR(D6="",H6=""),"",IF(OR(D6&lt;=0,H6&lt;0),"核对输入",IF(H6&gt;D6,"请核实长度","")))</x:f>
      </x:c>
    </x:row>
    <x:row r="7" ht="23" customHeight="1">
      <x:c r="A7" s="50" t="str">
        <x:f>IF(B7="","",ROW()-5)</x:f>
      </x:c>
      <x:c r="B7" s="53"/>
      <x:c r="C7" s="56"/>
      <x:c r="D7" s="56"/>
      <x:c r="E7" s="53"/>
      <x:c r="F7" s="56"/>
      <x:c r="G7" s="56"/>
      <x:c r="H7" s="56"/>
      <x:c r="I7" s="56"/>
      <x:c r="J7" s="59" t="str">
        <x:f>IF(OR(D7="",H7="",D7&lt;=0),"",H7/D7*100)</x:f>
      </x:c>
      <x:c r="K7" s="56"/>
      <x:c r="L7" s="56"/>
      <x:c r="M7" s="56"/>
      <x:c r="N7" s="56"/>
      <x:c r="O7" s="56"/>
      <x:c r="P7" s="44"/>
      <x:c r="Q7" s="50" t="str">
        <x:f>IF(OR(D7="",H7=""),"",IF(OR(D7&lt;=0,H7&lt;0),"核对输入",IF(H7&gt;D7,"请核实长度","")))</x:f>
      </x:c>
    </x:row>
    <x:row r="8" ht="23" customHeight="1">
      <x:c r="A8" s="50" t="str">
        <x:f>IF(B8="","",ROW()-5)</x:f>
      </x:c>
      <x:c r="B8" s="53"/>
      <x:c r="C8" s="56"/>
      <x:c r="D8" s="56"/>
      <x:c r="E8" s="53"/>
      <x:c r="F8" s="56"/>
      <x:c r="G8" s="56"/>
      <x:c r="H8" s="56"/>
      <x:c r="I8" s="56"/>
      <x:c r="J8" s="59" t="str">
        <x:f>IF(OR(D8="",H8="",D8&lt;=0),"",H8/D8*100)</x:f>
      </x:c>
      <x:c r="K8" s="56"/>
      <x:c r="L8" s="56"/>
      <x:c r="M8" s="56"/>
      <x:c r="N8" s="56"/>
      <x:c r="O8" s="56"/>
      <x:c r="P8" s="44"/>
      <x:c r="Q8" s="50" t="str">
        <x:f>IF(OR(D8="",H8=""),"",IF(OR(D8&lt;=0,H8&lt;0),"核对输入",IF(H8&gt;D8,"请核实长度","")))</x:f>
      </x:c>
    </x:row>
    <x:row r="9" ht="23" customHeight="1">
      <x:c r="A9" s="50" t="str">
        <x:f>IF(B9="","",ROW()-5)</x:f>
      </x:c>
      <x:c r="B9" s="53"/>
      <x:c r="C9" s="56"/>
      <x:c r="D9" s="56"/>
      <x:c r="E9" s="53"/>
      <x:c r="F9" s="56"/>
      <x:c r="G9" s="56"/>
      <x:c r="H9" s="56"/>
      <x:c r="I9" s="56"/>
      <x:c r="J9" s="59" t="str">
        <x:f>IF(OR(D9="",H9="",D9&lt;=0),"",H9/D9*100)</x:f>
      </x:c>
      <x:c r="K9" s="56"/>
      <x:c r="L9" s="56"/>
      <x:c r="M9" s="56"/>
      <x:c r="N9" s="56"/>
      <x:c r="O9" s="56"/>
      <x:c r="P9" s="44"/>
      <x:c r="Q9" s="50" t="str">
        <x:f>IF(OR(D9="",H9=""),"",IF(OR(D9&lt;=0,H9&lt;0),"核对输入",IF(H9&gt;D9,"请核实长度","")))</x:f>
      </x:c>
    </x:row>
    <x:row r="10" ht="23" customHeight="1">
      <x:c r="A10" s="50" t="str">
        <x:f>IF(B10="","",ROW()-5)</x:f>
      </x:c>
      <x:c r="B10" s="53"/>
      <x:c r="C10" s="56"/>
      <x:c r="D10" s="56"/>
      <x:c r="E10" s="53"/>
      <x:c r="F10" s="56"/>
      <x:c r="G10" s="56"/>
      <x:c r="H10" s="56"/>
      <x:c r="I10" s="56"/>
      <x:c r="J10" s="59" t="str">
        <x:f>IF(OR(D10="",H10="",D10&lt;=0),"",H10/D10*100)</x:f>
      </x:c>
      <x:c r="K10" s="56"/>
      <x:c r="L10" s="56"/>
      <x:c r="M10" s="56"/>
      <x:c r="N10" s="56"/>
      <x:c r="O10" s="56"/>
      <x:c r="P10" s="44"/>
      <x:c r="Q10" s="50" t="str">
        <x:f>IF(OR(D10="",H10=""),"",IF(OR(D10&lt;=0,H10&lt;0),"核对输入",IF(H10&gt;D10,"请核实长度","")))</x:f>
      </x:c>
    </x:row>
    <x:row r="11" ht="23" customHeight="1">
      <x:c r="A11" s="50" t="str">
        <x:f>IF(B11="","",ROW()-5)</x:f>
      </x:c>
      <x:c r="B11" s="53"/>
      <x:c r="C11" s="56"/>
      <x:c r="D11" s="56"/>
      <x:c r="E11" s="53"/>
      <x:c r="F11" s="56"/>
      <x:c r="G11" s="56"/>
      <x:c r="H11" s="56"/>
      <x:c r="I11" s="56"/>
      <x:c r="J11" s="59" t="str">
        <x:f>IF(OR(D11="",H11="",D11&lt;=0),"",H11/D11*100)</x:f>
      </x:c>
      <x:c r="K11" s="56"/>
      <x:c r="L11" s="56"/>
      <x:c r="M11" s="56"/>
      <x:c r="N11" s="56"/>
      <x:c r="O11" s="56"/>
      <x:c r="P11" s="44"/>
      <x:c r="Q11" s="50" t="str">
        <x:f>IF(OR(D11="",H11=""),"",IF(OR(D11&lt;=0,H11&lt;0),"核对输入",IF(H11&gt;D11,"请核实长度","")))</x:f>
      </x:c>
    </x:row>
    <x:row r="12" ht="23" customHeight="1">
      <x:c r="A12" s="50" t="str">
        <x:f>IF(B12="","",ROW()-5)</x:f>
      </x:c>
      <x:c r="B12" s="53"/>
      <x:c r="C12" s="56"/>
      <x:c r="D12" s="56"/>
      <x:c r="E12" s="53"/>
      <x:c r="F12" s="56"/>
      <x:c r="G12" s="56"/>
      <x:c r="H12" s="56"/>
      <x:c r="I12" s="56"/>
      <x:c r="J12" s="59" t="str">
        <x:f>IF(OR(D12="",H12="",D12&lt;=0),"",H12/D12*100)</x:f>
      </x:c>
      <x:c r="K12" s="56"/>
      <x:c r="L12" s="56"/>
      <x:c r="M12" s="56"/>
      <x:c r="N12" s="56"/>
      <x:c r="O12" s="56"/>
      <x:c r="P12" s="44"/>
      <x:c r="Q12" s="50" t="str">
        <x:f>IF(OR(D12="",H12=""),"",IF(OR(D12&lt;=0,H12&lt;0),"核对输入",IF(H12&gt;D12,"请核实长度","")))</x:f>
      </x:c>
    </x:row>
    <x:row r="13" ht="23" customHeight="1">
      <x:c r="A13" s="50" t="str">
        <x:f>IF(B13="","",ROW()-5)</x:f>
      </x:c>
      <x:c r="B13" s="53"/>
      <x:c r="C13" s="56"/>
      <x:c r="D13" s="56"/>
      <x:c r="E13" s="53"/>
      <x:c r="F13" s="56"/>
      <x:c r="G13" s="56"/>
      <x:c r="H13" s="56"/>
      <x:c r="I13" s="56"/>
      <x:c r="J13" s="59" t="str">
        <x:f>IF(OR(D13="",H13="",D13&lt;=0),"",H13/D13*100)</x:f>
      </x:c>
      <x:c r="K13" s="56"/>
      <x:c r="L13" s="56"/>
      <x:c r="M13" s="56"/>
      <x:c r="N13" s="56"/>
      <x:c r="O13" s="56"/>
      <x:c r="P13" s="44"/>
      <x:c r="Q13" s="50" t="str">
        <x:f>IF(OR(D13="",H13=""),"",IF(OR(D13&lt;=0,H13&lt;0),"核对输入",IF(H13&gt;D13,"请核实长度","")))</x:f>
      </x:c>
    </x:row>
    <x:row r="14" ht="23" customHeight="1">
      <x:c r="A14" s="50" t="str">
        <x:f>IF(B14="","",ROW()-5)</x:f>
      </x:c>
      <x:c r="B14" s="53"/>
      <x:c r="C14" s="56"/>
      <x:c r="D14" s="56"/>
      <x:c r="E14" s="53"/>
      <x:c r="F14" s="56"/>
      <x:c r="G14" s="56"/>
      <x:c r="H14" s="56"/>
      <x:c r="I14" s="56"/>
      <x:c r="J14" s="59" t="str">
        <x:f>IF(OR(D14="",H14="",D14&lt;=0),"",H14/D14*100)</x:f>
      </x:c>
      <x:c r="K14" s="56"/>
      <x:c r="L14" s="56"/>
      <x:c r="M14" s="56"/>
      <x:c r="N14" s="56"/>
      <x:c r="O14" s="56"/>
      <x:c r="P14" s="44"/>
      <x:c r="Q14" s="50" t="str">
        <x:f>IF(OR(D14="",H14=""),"",IF(OR(D14&lt;=0,H14&lt;0),"核对输入",IF(H14&gt;D14,"请核实长度","")))</x:f>
      </x:c>
    </x:row>
    <x:row r="15" ht="23" customHeight="1">
      <x:c r="A15" s="50" t="str">
        <x:f>IF(B15="","",ROW()-5)</x:f>
      </x:c>
      <x:c r="B15" s="53"/>
      <x:c r="C15" s="56"/>
      <x:c r="D15" s="56"/>
      <x:c r="E15" s="53"/>
      <x:c r="F15" s="56"/>
      <x:c r="G15" s="56"/>
      <x:c r="H15" s="56"/>
      <x:c r="I15" s="56"/>
      <x:c r="J15" s="59" t="str">
        <x:f>IF(OR(D15="",H15="",D15&lt;=0),"",H15/D15*100)</x:f>
      </x:c>
      <x:c r="K15" s="56"/>
      <x:c r="L15" s="56"/>
      <x:c r="M15" s="56"/>
      <x:c r="N15" s="56"/>
      <x:c r="O15" s="56"/>
      <x:c r="P15" s="44"/>
      <x:c r="Q15" s="50" t="str">
        <x:f>IF(OR(D15="",H15=""),"",IF(OR(D15&lt;=0,H15&lt;0),"核对输入",IF(H15&gt;D15,"请核实长度","")))</x:f>
      </x:c>
    </x:row>
    <x:row r="16" ht="23" customHeight="1">
      <x:c r="A16" s="50" t="str">
        <x:f>IF(B16="","",ROW()-5)</x:f>
      </x:c>
      <x:c r="B16" s="53"/>
      <x:c r="C16" s="56"/>
      <x:c r="D16" s="56"/>
      <x:c r="E16" s="53"/>
      <x:c r="F16" s="56"/>
      <x:c r="G16" s="56"/>
      <x:c r="H16" s="56"/>
      <x:c r="I16" s="56"/>
      <x:c r="J16" s="59" t="str">
        <x:f>IF(OR(D16="",H16="",D16&lt;=0),"",H16/D16*100)</x:f>
      </x:c>
      <x:c r="K16" s="56"/>
      <x:c r="L16" s="56"/>
      <x:c r="M16" s="56"/>
      <x:c r="N16" s="56"/>
      <x:c r="O16" s="56"/>
      <x:c r="P16" s="44"/>
      <x:c r="Q16" s="50" t="str">
        <x:f>IF(OR(D16="",H16=""),"",IF(OR(D16&lt;=0,H16&lt;0),"核对输入",IF(H16&gt;D16,"请核实长度","")))</x:f>
      </x:c>
    </x:row>
    <x:row r="17" ht="23" customHeight="1">
      <x:c r="A17" s="50" t="str">
        <x:f>IF(B17="","",ROW()-5)</x:f>
      </x:c>
      <x:c r="B17" s="53"/>
      <x:c r="C17" s="56"/>
      <x:c r="D17" s="56"/>
      <x:c r="E17" s="53"/>
      <x:c r="F17" s="56"/>
      <x:c r="G17" s="56"/>
      <x:c r="H17" s="56"/>
      <x:c r="I17" s="56"/>
      <x:c r="J17" s="59" t="str">
        <x:f>IF(OR(D17="",H17="",D17&lt;=0),"",H17/D17*100)</x:f>
      </x:c>
      <x:c r="K17" s="56"/>
      <x:c r="L17" s="56"/>
      <x:c r="M17" s="56"/>
      <x:c r="N17" s="56"/>
      <x:c r="O17" s="56"/>
      <x:c r="P17" s="44"/>
      <x:c r="Q17" s="50" t="str">
        <x:f>IF(OR(D17="",H17=""),"",IF(OR(D17&lt;=0,H17&lt;0),"核对输入",IF(H17&gt;D17,"请核实长度","")))</x:f>
      </x:c>
    </x:row>
    <x:row r="18" ht="23" customHeight="1">
      <x:c r="A18" s="50" t="str">
        <x:f>IF(B18="","",ROW()-5)</x:f>
      </x:c>
      <x:c r="B18" s="53"/>
      <x:c r="C18" s="56"/>
      <x:c r="D18" s="56"/>
      <x:c r="E18" s="53"/>
      <x:c r="F18" s="56"/>
      <x:c r="G18" s="56"/>
      <x:c r="H18" s="56"/>
      <x:c r="I18" s="56"/>
      <x:c r="J18" s="59" t="str">
        <x:f>IF(OR(D18="",H18="",D18&lt;=0),"",H18/D18*100)</x:f>
      </x:c>
      <x:c r="K18" s="56"/>
      <x:c r="L18" s="56"/>
      <x:c r="M18" s="56"/>
      <x:c r="N18" s="56"/>
      <x:c r="O18" s="56"/>
      <x:c r="P18" s="44"/>
      <x:c r="Q18" s="50" t="str">
        <x:f>IF(OR(D18="",H18=""),"",IF(OR(D18&lt;=0,H18&lt;0),"核对输入",IF(H18&gt;D18,"请核实长度","")))</x:f>
      </x:c>
    </x:row>
    <x:row r="19" ht="23" customHeight="1">
      <x:c r="A19" s="50" t="str">
        <x:f>IF(B19="","",ROW()-5)</x:f>
      </x:c>
      <x:c r="B19" s="53"/>
      <x:c r="C19" s="56"/>
      <x:c r="D19" s="56"/>
      <x:c r="E19" s="53"/>
      <x:c r="F19" s="56"/>
      <x:c r="G19" s="56"/>
      <x:c r="H19" s="56"/>
      <x:c r="I19" s="56"/>
      <x:c r="J19" s="59" t="str">
        <x:f>IF(OR(D19="",H19="",D19&lt;=0),"",H19/D19*100)</x:f>
      </x:c>
      <x:c r="K19" s="56"/>
      <x:c r="L19" s="56"/>
      <x:c r="M19" s="56"/>
      <x:c r="N19" s="56"/>
      <x:c r="O19" s="56"/>
      <x:c r="P19" s="44"/>
      <x:c r="Q19" s="50" t="str">
        <x:f>IF(OR(D19="",H19=""),"",IF(OR(D19&lt;=0,H19&lt;0),"核对输入",IF(H19&gt;D19,"请核实长度","")))</x:f>
      </x:c>
    </x:row>
    <x:row r="20" ht="23" customHeight="1">
      <x:c r="A20" s="50" t="str">
        <x:f>IF(B20="","",ROW()-5)</x:f>
      </x:c>
      <x:c r="B20" s="53"/>
      <x:c r="C20" s="56"/>
      <x:c r="D20" s="56"/>
      <x:c r="E20" s="53"/>
      <x:c r="F20" s="56"/>
      <x:c r="G20" s="56"/>
      <x:c r="H20" s="56"/>
      <x:c r="I20" s="56"/>
      <x:c r="J20" s="59" t="str">
        <x:f>IF(OR(D20="",H20="",D20&lt;=0),"",H20/D20*100)</x:f>
      </x:c>
      <x:c r="K20" s="56"/>
      <x:c r="L20" s="56"/>
      <x:c r="M20" s="56"/>
      <x:c r="N20" s="56"/>
      <x:c r="O20" s="56"/>
      <x:c r="P20" s="44"/>
      <x:c r="Q20" s="50" t="str">
        <x:f>IF(OR(D20="",H20=""),"",IF(OR(D20&lt;=0,H20&lt;0),"核对输入",IF(H20&gt;D20,"请核实长度","")))</x:f>
      </x:c>
    </x:row>
    <x:row r="21" ht="23" customHeight="1">
      <x:c r="A21" s="50" t="str">
        <x:f>IF(B21="","",ROW()-5)</x:f>
      </x:c>
      <x:c r="B21" s="53"/>
      <x:c r="C21" s="56"/>
      <x:c r="D21" s="56"/>
      <x:c r="E21" s="53"/>
      <x:c r="F21" s="56"/>
      <x:c r="G21" s="56"/>
      <x:c r="H21" s="56"/>
      <x:c r="I21" s="56"/>
      <x:c r="J21" s="59" t="str">
        <x:f>IF(OR(D21="",H21="",D21&lt;=0),"",H21/D21*100)</x:f>
      </x:c>
      <x:c r="K21" s="56"/>
      <x:c r="L21" s="56"/>
      <x:c r="M21" s="56"/>
      <x:c r="N21" s="56"/>
      <x:c r="O21" s="56"/>
      <x:c r="P21" s="44"/>
      <x:c r="Q21" s="50" t="str">
        <x:f>IF(OR(D21="",H21=""),"",IF(OR(D21&lt;=0,H21&lt;0),"核对输入",IF(H21&gt;D21,"请核实长度","")))</x:f>
      </x:c>
    </x:row>
    <x:row r="22" ht="23" customHeight="1">
      <x:c r="A22" s="50" t="str">
        <x:f>IF(B22="","",ROW()-5)</x:f>
      </x:c>
      <x:c r="B22" s="53"/>
      <x:c r="C22" s="56"/>
      <x:c r="D22" s="56"/>
      <x:c r="E22" s="53"/>
      <x:c r="F22" s="56"/>
      <x:c r="G22" s="56"/>
      <x:c r="H22" s="56"/>
      <x:c r="I22" s="56"/>
      <x:c r="J22" s="59" t="str">
        <x:f>IF(OR(D22="",H22="",D22&lt;=0),"",H22/D22*100)</x:f>
      </x:c>
      <x:c r="K22" s="56"/>
      <x:c r="L22" s="56"/>
      <x:c r="M22" s="56"/>
      <x:c r="N22" s="56"/>
      <x:c r="O22" s="56"/>
      <x:c r="P22" s="44"/>
      <x:c r="Q22" s="50" t="str">
        <x:f>IF(OR(D22="",H22=""),"",IF(OR(D22&lt;=0,H22&lt;0),"核对输入",IF(H22&gt;D22,"请核实长度","")))</x:f>
      </x:c>
    </x:row>
    <x:row r="23" ht="23" customHeight="1">
      <x:c r="A23" s="50" t="str">
        <x:f>IF(B23="","",ROW()-5)</x:f>
      </x:c>
      <x:c r="B23" s="53"/>
      <x:c r="C23" s="56"/>
      <x:c r="D23" s="56"/>
      <x:c r="E23" s="53"/>
      <x:c r="F23" s="56"/>
      <x:c r="G23" s="56"/>
      <x:c r="H23" s="56"/>
      <x:c r="I23" s="56"/>
      <x:c r="J23" s="59" t="str">
        <x:f>IF(OR(D23="",H23="",D23&lt;=0),"",H23/D23*100)</x:f>
      </x:c>
      <x:c r="K23" s="56"/>
      <x:c r="L23" s="56"/>
      <x:c r="M23" s="56"/>
      <x:c r="N23" s="56"/>
      <x:c r="O23" s="56"/>
      <x:c r="P23" s="44"/>
      <x:c r="Q23" s="50" t="str">
        <x:f>IF(OR(D23="",H23=""),"",IF(OR(D23&lt;=0,H23&lt;0),"核对输入",IF(H23&gt;D23,"请核实长度","")))</x:f>
      </x:c>
    </x:row>
    <x:row r="24" ht="23" customHeight="1">
      <x:c r="A24" s="50" t="str">
        <x:f>IF(B24="","",ROW()-5)</x:f>
      </x:c>
      <x:c r="B24" s="53"/>
      <x:c r="C24" s="56"/>
      <x:c r="D24" s="56"/>
      <x:c r="E24" s="53"/>
      <x:c r="F24" s="56"/>
      <x:c r="G24" s="56"/>
      <x:c r="H24" s="56"/>
      <x:c r="I24" s="56"/>
      <x:c r="J24" s="59" t="str">
        <x:f>IF(OR(D24="",H24="",D24&lt;=0),"",H24/D24*100)</x:f>
      </x:c>
      <x:c r="K24" s="56"/>
      <x:c r="L24" s="56"/>
      <x:c r="M24" s="56"/>
      <x:c r="N24" s="56"/>
      <x:c r="O24" s="56"/>
      <x:c r="P24" s="44"/>
      <x:c r="Q24" s="50" t="str">
        <x:f>IF(OR(D24="",H24=""),"",IF(OR(D24&lt;=0,H24&lt;0),"核对输入",IF(H24&gt;D24,"请核实长度","")))</x:f>
      </x:c>
    </x:row>
    <x:row r="25" ht="23" customHeight="1">
      <x:c r="A25" s="51" t="str">
        <x:f>IF(B25="","",ROW()-5)</x:f>
      </x:c>
      <x:c r="B25" s="54"/>
      <x:c r="C25" s="57"/>
      <x:c r="D25" s="57"/>
      <x:c r="E25" s="54"/>
      <x:c r="F25" s="57"/>
      <x:c r="G25" s="57"/>
      <x:c r="H25" s="57"/>
      <x:c r="I25" s="57"/>
      <x:c r="J25" s="60" t="str">
        <x:f>IF(OR(D25="",H25="",D25&lt;=0),"",H25/D25*100)</x:f>
      </x:c>
      <x:c r="K25" s="57"/>
      <x:c r="L25" s="57"/>
      <x:c r="M25" s="57"/>
      <x:c r="N25" s="57"/>
      <x:c r="O25" s="57"/>
      <x:c r="P25" s="45"/>
      <x:c r="Q25" s="51" t="str">
        <x:f>IF(OR(D25="",H25=""),"",IF(OR(D25&lt;=0,H25&lt;0),"核对输入",IF(H25&gt;D25,"请核实长度","")))</x:f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7" hidden="0" customWidth="1"/>
    <x:col min="8" max="8" width="14" hidden="0" customWidth="1"/>
    <x:col min="9" max="9" width="16" hidden="0" customWidth="1"/>
    <x:col min="10" max="10" width="17" hidden="0" customWidth="1"/>
    <x:col min="11" max="11" width="20" hidden="0" customWidth="1"/>
    <x:col min="12" max="12" width="24" hidden="0" customWidth="1"/>
    <x:col min="13" max="13" width="16" hidden="0" customWidth="1"/>
    <x:col min="14" max="14" width="16" hidden="0" customWidth="1"/>
    <x:col min="15" max="15" width="30" hidden="0" customWidth="1"/>
    <x:col min="16" max="16" width="18" hidden="0" customWidth="1"/>
    <x:col min="17" max="17" width="20" hidden="0" customWidth="1"/>
  </x:cols>
  <x:sheetData>
    <x:row r="1" ht="24" customHeight="1">
      <x:c r="A1" s="3" t="str">
        <x:v>分层-原始记录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2" customHeight="1">
      <x:c r="A2" s="6" t="str">
        <x:v>只录原始分层行；进尺、岩心、原填采取率和真厚度分别保留。计算采取率单列；不计算真厚度。汇总页与本表互不自动覆盖。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</x:row>
    <x:row r="4">
      <x:c r="A4" s="38" t="str">
        <x:v>分层行数</x:v>
      </x:c>
      <x:c r="B4" s="42" t="n">
        <x:f>COUNTIF(B6:B25,"&lt;&gt;")</x:f>
        <x:v>0</x:v>
      </x:c>
      <x:c r="C4" s="38" t="str">
        <x:v>进尺合计_m</x:v>
      </x:c>
      <x:c r="D4" s="42" t="str">
        <x:f>IF(COUNT(H6:H25)=0,"",SUM(H6:H25))</x:f>
      </x:c>
      <x:c r="E4" s="38" t="str">
        <x:v>岩心合计_m</x:v>
      </x:c>
      <x:c r="F4" s="42" t="str">
        <x:f>IF(COUNT(I6:I25)=0,"",SUM(I6:I25))</x:f>
      </x:c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2"/>
    </x:row>
    <x:row r="5" ht="34" customHeight="1">
      <x:c r="A5" s="31" t="str">
        <x:v>序号</x:v>
      </x:c>
      <x:c r="B5" s="31" t="str">
        <x:v>层号</x:v>
      </x:c>
      <x:c r="C5" s="31" t="str">
        <x:v>起回次号</x:v>
      </x:c>
      <x:c r="D5" s="31" t="str">
        <x:v>起位置_m</x:v>
      </x:c>
      <x:c r="E5" s="31" t="str">
        <x:v>止回次号</x:v>
      </x:c>
      <x:c r="F5" s="31" t="str">
        <x:v>止位置_m</x:v>
      </x:c>
      <x:c r="G5" s="31" t="str">
        <x:v>换层累计孔深_m</x:v>
      </x:c>
      <x:c r="H5" s="31" t="str">
        <x:v>分层进尺_m</x:v>
      </x:c>
      <x:c r="I5" s="31" t="str">
        <x:v>分层岩心长_m</x:v>
      </x:c>
      <x:c r="J5" s="31" t="str">
        <x:v>分层采取率_pct（原填）</x:v>
      </x:c>
      <x:c r="K5" s="31" t="str">
        <x:v>分层采取率_pct（计算）</x:v>
      </x:c>
      <x:c r="L5" s="31" t="str">
        <x:v>岩性名称</x:v>
      </x:c>
      <x:c r="M5" s="31" t="str">
        <x:v>平均轴夹角_deg</x:v>
      </x:c>
      <x:c r="N5" s="31" t="str">
        <x:v>真厚度_m（原填）</x:v>
      </x:c>
      <x:c r="O5" s="31" t="str">
        <x:v>调整/说明</x:v>
      </x:c>
      <x:c r="P5" s="31" t="str">
        <x:v>止回次岩心长_m</x:v>
      </x:c>
      <x:c r="Q5" s="31" t="str">
        <x:v>原表O列未命名值</x:v>
      </x:c>
    </x:row>
    <x:row r="6" ht="23" customHeight="1">
      <x:c r="A6" s="49" t="str">
        <x:f>IF(B6="","",ROW()-5)</x:f>
      </x:c>
      <x:c r="B6" s="52"/>
      <x:c r="C6" s="52"/>
      <x:c r="D6" s="55"/>
      <x:c r="E6" s="55"/>
      <x:c r="F6" s="55"/>
      <x:c r="G6" s="55"/>
      <x:c r="H6" s="55"/>
      <x:c r="I6" s="55"/>
      <x:c r="J6" s="55"/>
      <x:c r="K6" s="58" t="str">
        <x:f>IF(OR(H6="",I6="",H6&lt;=0),"",I6/H6*100)</x:f>
      </x:c>
      <x:c r="L6" s="43"/>
      <x:c r="M6" s="55"/>
      <x:c r="N6" s="55"/>
      <x:c r="O6" s="43"/>
      <x:c r="P6" s="55"/>
      <x:c r="Q6" s="43"/>
    </x:row>
    <x:row r="7" ht="23" customHeight="1">
      <x:c r="A7" s="50" t="str">
        <x:f>IF(B7="","",ROW()-5)</x:f>
      </x:c>
      <x:c r="B7" s="53"/>
      <x:c r="C7" s="53"/>
      <x:c r="D7" s="56"/>
      <x:c r="E7" s="56"/>
      <x:c r="F7" s="56"/>
      <x:c r="G7" s="56"/>
      <x:c r="H7" s="56"/>
      <x:c r="I7" s="56"/>
      <x:c r="J7" s="56"/>
      <x:c r="K7" s="59" t="str">
        <x:f>IF(OR(H7="",I7="",H7&lt;=0),"",I7/H7*100)</x:f>
      </x:c>
      <x:c r="L7" s="44"/>
      <x:c r="M7" s="56"/>
      <x:c r="N7" s="56"/>
      <x:c r="O7" s="44"/>
      <x:c r="P7" s="56"/>
      <x:c r="Q7" s="44"/>
    </x:row>
    <x:row r="8" ht="23" customHeight="1">
      <x:c r="A8" s="50" t="str">
        <x:f>IF(B8="","",ROW()-5)</x:f>
      </x:c>
      <x:c r="B8" s="53"/>
      <x:c r="C8" s="53"/>
      <x:c r="D8" s="56"/>
      <x:c r="E8" s="56"/>
      <x:c r="F8" s="56"/>
      <x:c r="G8" s="56"/>
      <x:c r="H8" s="56"/>
      <x:c r="I8" s="56"/>
      <x:c r="J8" s="56"/>
      <x:c r="K8" s="59" t="str">
        <x:f>IF(OR(H8="",I8="",H8&lt;=0),"",I8/H8*100)</x:f>
      </x:c>
      <x:c r="L8" s="44"/>
      <x:c r="M8" s="56"/>
      <x:c r="N8" s="56"/>
      <x:c r="O8" s="44"/>
      <x:c r="P8" s="56"/>
      <x:c r="Q8" s="44"/>
    </x:row>
    <x:row r="9" ht="23" customHeight="1">
      <x:c r="A9" s="50" t="str">
        <x:f>IF(B9="","",ROW()-5)</x:f>
      </x:c>
      <x:c r="B9" s="53"/>
      <x:c r="C9" s="53"/>
      <x:c r="D9" s="56"/>
      <x:c r="E9" s="56"/>
      <x:c r="F9" s="56"/>
      <x:c r="G9" s="56"/>
      <x:c r="H9" s="56"/>
      <x:c r="I9" s="56"/>
      <x:c r="J9" s="56"/>
      <x:c r="K9" s="59" t="str">
        <x:f>IF(OR(H9="",I9="",H9&lt;=0),"",I9/H9*100)</x:f>
      </x:c>
      <x:c r="L9" s="44"/>
      <x:c r="M9" s="56"/>
      <x:c r="N9" s="56"/>
      <x:c r="O9" s="44"/>
      <x:c r="P9" s="56"/>
      <x:c r="Q9" s="44"/>
    </x:row>
    <x:row r="10" ht="23" customHeight="1">
      <x:c r="A10" s="50" t="str">
        <x:f>IF(B10="","",ROW()-5)</x:f>
      </x:c>
      <x:c r="B10" s="53"/>
      <x:c r="C10" s="53"/>
      <x:c r="D10" s="56"/>
      <x:c r="E10" s="56"/>
      <x:c r="F10" s="56"/>
      <x:c r="G10" s="56"/>
      <x:c r="H10" s="56"/>
      <x:c r="I10" s="56"/>
      <x:c r="J10" s="56"/>
      <x:c r="K10" s="59" t="str">
        <x:f>IF(OR(H10="",I10="",H10&lt;=0),"",I10/H10*100)</x:f>
      </x:c>
      <x:c r="L10" s="44"/>
      <x:c r="M10" s="56"/>
      <x:c r="N10" s="56"/>
      <x:c r="O10" s="44"/>
      <x:c r="P10" s="56"/>
      <x:c r="Q10" s="44"/>
    </x:row>
    <x:row r="11" ht="23" customHeight="1">
      <x:c r="A11" s="50" t="str">
        <x:f>IF(B11="","",ROW()-5)</x:f>
      </x:c>
      <x:c r="B11" s="53"/>
      <x:c r="C11" s="53"/>
      <x:c r="D11" s="56"/>
      <x:c r="E11" s="56"/>
      <x:c r="F11" s="56"/>
      <x:c r="G11" s="56"/>
      <x:c r="H11" s="56"/>
      <x:c r="I11" s="56"/>
      <x:c r="J11" s="56"/>
      <x:c r="K11" s="59" t="str">
        <x:f>IF(OR(H11="",I11="",H11&lt;=0),"",I11/H11*100)</x:f>
      </x:c>
      <x:c r="L11" s="44"/>
      <x:c r="M11" s="56"/>
      <x:c r="N11" s="56"/>
      <x:c r="O11" s="44"/>
      <x:c r="P11" s="56"/>
      <x:c r="Q11" s="44"/>
    </x:row>
    <x:row r="12" ht="23" customHeight="1">
      <x:c r="A12" s="50" t="str">
        <x:f>IF(B12="","",ROW()-5)</x:f>
      </x:c>
      <x:c r="B12" s="53"/>
      <x:c r="C12" s="53"/>
      <x:c r="D12" s="56"/>
      <x:c r="E12" s="56"/>
      <x:c r="F12" s="56"/>
      <x:c r="G12" s="56"/>
      <x:c r="H12" s="56"/>
      <x:c r="I12" s="56"/>
      <x:c r="J12" s="56"/>
      <x:c r="K12" s="59" t="str">
        <x:f>IF(OR(H12="",I12="",H12&lt;=0),"",I12/H12*100)</x:f>
      </x:c>
      <x:c r="L12" s="44"/>
      <x:c r="M12" s="56"/>
      <x:c r="N12" s="56"/>
      <x:c r="O12" s="44"/>
      <x:c r="P12" s="56"/>
      <x:c r="Q12" s="44"/>
    </x:row>
    <x:row r="13" ht="23" customHeight="1">
      <x:c r="A13" s="50" t="str">
        <x:f>IF(B13="","",ROW()-5)</x:f>
      </x:c>
      <x:c r="B13" s="53"/>
      <x:c r="C13" s="53"/>
      <x:c r="D13" s="56"/>
      <x:c r="E13" s="56"/>
      <x:c r="F13" s="56"/>
      <x:c r="G13" s="56"/>
      <x:c r="H13" s="56"/>
      <x:c r="I13" s="56"/>
      <x:c r="J13" s="56"/>
      <x:c r="K13" s="59" t="str">
        <x:f>IF(OR(H13="",I13="",H13&lt;=0),"",I13/H13*100)</x:f>
      </x:c>
      <x:c r="L13" s="44"/>
      <x:c r="M13" s="56"/>
      <x:c r="N13" s="56"/>
      <x:c r="O13" s="44"/>
      <x:c r="P13" s="56"/>
      <x:c r="Q13" s="44"/>
    </x:row>
    <x:row r="14" ht="23" customHeight="1">
      <x:c r="A14" s="50" t="str">
        <x:f>IF(B14="","",ROW()-5)</x:f>
      </x:c>
      <x:c r="B14" s="53"/>
      <x:c r="C14" s="53"/>
      <x:c r="D14" s="56"/>
      <x:c r="E14" s="56"/>
      <x:c r="F14" s="56"/>
      <x:c r="G14" s="56"/>
      <x:c r="H14" s="56"/>
      <x:c r="I14" s="56"/>
      <x:c r="J14" s="56"/>
      <x:c r="K14" s="59" t="str">
        <x:f>IF(OR(H14="",I14="",H14&lt;=0),"",I14/H14*100)</x:f>
      </x:c>
      <x:c r="L14" s="44"/>
      <x:c r="M14" s="56"/>
      <x:c r="N14" s="56"/>
      <x:c r="O14" s="44"/>
      <x:c r="P14" s="56"/>
      <x:c r="Q14" s="44"/>
    </x:row>
    <x:row r="15" ht="23" customHeight="1">
      <x:c r="A15" s="50" t="str">
        <x:f>IF(B15="","",ROW()-5)</x:f>
      </x:c>
      <x:c r="B15" s="53"/>
      <x:c r="C15" s="53"/>
      <x:c r="D15" s="56"/>
      <x:c r="E15" s="56"/>
      <x:c r="F15" s="56"/>
      <x:c r="G15" s="56"/>
      <x:c r="H15" s="56"/>
      <x:c r="I15" s="56"/>
      <x:c r="J15" s="56"/>
      <x:c r="K15" s="59" t="str">
        <x:f>IF(OR(H15="",I15="",H15&lt;=0),"",I15/H15*100)</x:f>
      </x:c>
      <x:c r="L15" s="44"/>
      <x:c r="M15" s="56"/>
      <x:c r="N15" s="56"/>
      <x:c r="O15" s="44"/>
      <x:c r="P15" s="56"/>
      <x:c r="Q15" s="44"/>
    </x:row>
    <x:row r="16" ht="23" customHeight="1">
      <x:c r="A16" s="50" t="str">
        <x:f>IF(B16="","",ROW()-5)</x:f>
      </x:c>
      <x:c r="B16" s="53"/>
      <x:c r="C16" s="53"/>
      <x:c r="D16" s="56"/>
      <x:c r="E16" s="56"/>
      <x:c r="F16" s="56"/>
      <x:c r="G16" s="56"/>
      <x:c r="H16" s="56"/>
      <x:c r="I16" s="56"/>
      <x:c r="J16" s="56"/>
      <x:c r="K16" s="59" t="str">
        <x:f>IF(OR(H16="",I16="",H16&lt;=0),"",I16/H16*100)</x:f>
      </x:c>
      <x:c r="L16" s="44"/>
      <x:c r="M16" s="56"/>
      <x:c r="N16" s="56"/>
      <x:c r="O16" s="44"/>
      <x:c r="P16" s="56"/>
      <x:c r="Q16" s="44"/>
    </x:row>
    <x:row r="17" ht="23" customHeight="1">
      <x:c r="A17" s="50" t="str">
        <x:f>IF(B17="","",ROW()-5)</x:f>
      </x:c>
      <x:c r="B17" s="53"/>
      <x:c r="C17" s="53"/>
      <x:c r="D17" s="56"/>
      <x:c r="E17" s="56"/>
      <x:c r="F17" s="56"/>
      <x:c r="G17" s="56"/>
      <x:c r="H17" s="56"/>
      <x:c r="I17" s="56"/>
      <x:c r="J17" s="56"/>
      <x:c r="K17" s="59" t="str">
        <x:f>IF(OR(H17="",I17="",H17&lt;=0),"",I17/H17*100)</x:f>
      </x:c>
      <x:c r="L17" s="44"/>
      <x:c r="M17" s="56"/>
      <x:c r="N17" s="56"/>
      <x:c r="O17" s="44"/>
      <x:c r="P17" s="56"/>
      <x:c r="Q17" s="44"/>
    </x:row>
    <x:row r="18" ht="23" customHeight="1">
      <x:c r="A18" s="50" t="str">
        <x:f>IF(B18="","",ROW()-5)</x:f>
      </x:c>
      <x:c r="B18" s="53"/>
      <x:c r="C18" s="53"/>
      <x:c r="D18" s="56"/>
      <x:c r="E18" s="56"/>
      <x:c r="F18" s="56"/>
      <x:c r="G18" s="56"/>
      <x:c r="H18" s="56"/>
      <x:c r="I18" s="56"/>
      <x:c r="J18" s="56"/>
      <x:c r="K18" s="59" t="str">
        <x:f>IF(OR(H18="",I18="",H18&lt;=0),"",I18/H18*100)</x:f>
      </x:c>
      <x:c r="L18" s="44"/>
      <x:c r="M18" s="56"/>
      <x:c r="N18" s="56"/>
      <x:c r="O18" s="44"/>
      <x:c r="P18" s="56"/>
      <x:c r="Q18" s="44"/>
    </x:row>
    <x:row r="19" ht="23" customHeight="1">
      <x:c r="A19" s="50" t="str">
        <x:f>IF(B19="","",ROW()-5)</x:f>
      </x:c>
      <x:c r="B19" s="53"/>
      <x:c r="C19" s="53"/>
      <x:c r="D19" s="56"/>
      <x:c r="E19" s="56"/>
      <x:c r="F19" s="56"/>
      <x:c r="G19" s="56"/>
      <x:c r="H19" s="56"/>
      <x:c r="I19" s="56"/>
      <x:c r="J19" s="56"/>
      <x:c r="K19" s="59" t="str">
        <x:f>IF(OR(H19="",I19="",H19&lt;=0),"",I19/H19*100)</x:f>
      </x:c>
      <x:c r="L19" s="44"/>
      <x:c r="M19" s="56"/>
      <x:c r="N19" s="56"/>
      <x:c r="O19" s="44"/>
      <x:c r="P19" s="56"/>
      <x:c r="Q19" s="44"/>
    </x:row>
    <x:row r="20" ht="23" customHeight="1">
      <x:c r="A20" s="50" t="str">
        <x:f>IF(B20="","",ROW()-5)</x:f>
      </x:c>
      <x:c r="B20" s="53"/>
      <x:c r="C20" s="53"/>
      <x:c r="D20" s="56"/>
      <x:c r="E20" s="56"/>
      <x:c r="F20" s="56"/>
      <x:c r="G20" s="56"/>
      <x:c r="H20" s="56"/>
      <x:c r="I20" s="56"/>
      <x:c r="J20" s="56"/>
      <x:c r="K20" s="59" t="str">
        <x:f>IF(OR(H20="",I20="",H20&lt;=0),"",I20/H20*100)</x:f>
      </x:c>
      <x:c r="L20" s="44"/>
      <x:c r="M20" s="56"/>
      <x:c r="N20" s="56"/>
      <x:c r="O20" s="44"/>
      <x:c r="P20" s="56"/>
      <x:c r="Q20" s="44"/>
    </x:row>
    <x:row r="21" ht="23" customHeight="1">
      <x:c r="A21" s="50" t="str">
        <x:f>IF(B21="","",ROW()-5)</x:f>
      </x:c>
      <x:c r="B21" s="53"/>
      <x:c r="C21" s="53"/>
      <x:c r="D21" s="56"/>
      <x:c r="E21" s="56"/>
      <x:c r="F21" s="56"/>
      <x:c r="G21" s="56"/>
      <x:c r="H21" s="56"/>
      <x:c r="I21" s="56"/>
      <x:c r="J21" s="56"/>
      <x:c r="K21" s="59" t="str">
        <x:f>IF(OR(H21="",I21="",H21&lt;=0),"",I21/H21*100)</x:f>
      </x:c>
      <x:c r="L21" s="44"/>
      <x:c r="M21" s="56"/>
      <x:c r="N21" s="56"/>
      <x:c r="O21" s="44"/>
      <x:c r="P21" s="56"/>
      <x:c r="Q21" s="44"/>
    </x:row>
    <x:row r="22" ht="23" customHeight="1">
      <x:c r="A22" s="50" t="str">
        <x:f>IF(B22="","",ROW()-5)</x:f>
      </x:c>
      <x:c r="B22" s="53"/>
      <x:c r="C22" s="53"/>
      <x:c r="D22" s="56"/>
      <x:c r="E22" s="56"/>
      <x:c r="F22" s="56"/>
      <x:c r="G22" s="56"/>
      <x:c r="H22" s="56"/>
      <x:c r="I22" s="56"/>
      <x:c r="J22" s="56"/>
      <x:c r="K22" s="59" t="str">
        <x:f>IF(OR(H22="",I22="",H22&lt;=0),"",I22/H22*100)</x:f>
      </x:c>
      <x:c r="L22" s="44"/>
      <x:c r="M22" s="56"/>
      <x:c r="N22" s="56"/>
      <x:c r="O22" s="44"/>
      <x:c r="P22" s="56"/>
      <x:c r="Q22" s="44"/>
    </x:row>
    <x:row r="23" ht="23" customHeight="1">
      <x:c r="A23" s="50" t="str">
        <x:f>IF(B23="","",ROW()-5)</x:f>
      </x:c>
      <x:c r="B23" s="53"/>
      <x:c r="C23" s="53"/>
      <x:c r="D23" s="56"/>
      <x:c r="E23" s="56"/>
      <x:c r="F23" s="56"/>
      <x:c r="G23" s="56"/>
      <x:c r="H23" s="56"/>
      <x:c r="I23" s="56"/>
      <x:c r="J23" s="56"/>
      <x:c r="K23" s="59" t="str">
        <x:f>IF(OR(H23="",I23="",H23&lt;=0),"",I23/H23*100)</x:f>
      </x:c>
      <x:c r="L23" s="44"/>
      <x:c r="M23" s="56"/>
      <x:c r="N23" s="56"/>
      <x:c r="O23" s="44"/>
      <x:c r="P23" s="56"/>
      <x:c r="Q23" s="44"/>
    </x:row>
    <x:row r="24" ht="23" customHeight="1">
      <x:c r="A24" s="50" t="str">
        <x:f>IF(B24="","",ROW()-5)</x:f>
      </x:c>
      <x:c r="B24" s="53"/>
      <x:c r="C24" s="53"/>
      <x:c r="D24" s="56"/>
      <x:c r="E24" s="56"/>
      <x:c r="F24" s="56"/>
      <x:c r="G24" s="56"/>
      <x:c r="H24" s="56"/>
      <x:c r="I24" s="56"/>
      <x:c r="J24" s="56"/>
      <x:c r="K24" s="59" t="str">
        <x:f>IF(OR(H24="",I24="",H24&lt;=0),"",I24/H24*100)</x:f>
      </x:c>
      <x:c r="L24" s="44"/>
      <x:c r="M24" s="56"/>
      <x:c r="N24" s="56"/>
      <x:c r="O24" s="44"/>
      <x:c r="P24" s="56"/>
      <x:c r="Q24" s="44"/>
    </x:row>
    <x:row r="25" ht="23" customHeight="1">
      <x:c r="A25" s="51" t="str">
        <x:f>IF(B25="","",ROW()-5)</x:f>
      </x:c>
      <x:c r="B25" s="54"/>
      <x:c r="C25" s="54"/>
      <x:c r="D25" s="57"/>
      <x:c r="E25" s="57"/>
      <x:c r="F25" s="57"/>
      <x:c r="G25" s="57"/>
      <x:c r="H25" s="57"/>
      <x:c r="I25" s="57"/>
      <x:c r="J25" s="57"/>
      <x:c r="K25" s="60" t="str">
        <x:f>IF(OR(H25="",I25="",H25&lt;=0),"",I25/H25*100)</x:f>
      </x:c>
      <x:c r="L25" s="45"/>
      <x:c r="M25" s="57"/>
      <x:c r="N25" s="57"/>
      <x:c r="O25" s="45"/>
      <x:c r="P25" s="57"/>
      <x:c r="Q25" s="45"/>
    </x:row>
  </x:sheetData>
  <x:mergeCells>
    <x:mergeCell ref="A1:Q1"/>
    <x:mergeCell ref="A2:Q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6" hidden="0" customWidth="1"/>
    <x:col min="7" max="7" width="16" hidden="0" customWidth="1"/>
    <x:col min="8" max="8" width="16" hidden="0" customWidth="1"/>
    <x:col min="9" max="9" width="20" hidden="0" customWidth="1"/>
    <x:col min="10" max="10" width="18" hidden="0" customWidth="1"/>
    <x:col min="11" max="11" width="18" hidden="0" customWidth="1"/>
  </x:cols>
  <x:sheetData>
    <x:row r="1" ht="24" customHeight="1">
      <x:c r="A1" s="3" t="str">
        <x:v>分层-地质综合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6" t="str">
        <x:v>保留源表多行表头字段的平铺写法；独立人工综合，不自动引用或覆盖“分层-原始记录”，不自动计算真厚度。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 ht="34" customHeight="1">
      <x:c r="A5" s="31" t="str">
        <x:v>序号</x:v>
      </x:c>
      <x:c r="B5" s="31" t="str">
        <x:v>起回次号</x:v>
      </x:c>
      <x:c r="C5" s="31" t="str">
        <x:v>起位置_m</x:v>
      </x:c>
      <x:c r="D5" s="31" t="str">
        <x:v>止回次号</x:v>
      </x:c>
      <x:c r="E5" s="31" t="str">
        <x:v>止位置_m</x:v>
      </x:c>
      <x:c r="F5" s="31" t="str">
        <x:v>换层孔深_m</x:v>
      </x:c>
      <x:c r="G5" s="31" t="str">
        <x:v>分层进尺_m</x:v>
      </x:c>
      <x:c r="H5" s="31" t="str">
        <x:v>分层岩心长_m</x:v>
      </x:c>
      <x:c r="I5" s="31" t="str">
        <x:v>分层采取率_pct（原填）</x:v>
      </x:c>
      <x:c r="J5" s="31" t="str">
        <x:v>平均轴夹角_deg</x:v>
      </x:c>
      <x:c r="K5" s="31" t="str">
        <x:v>真厚度_m（原填）</x:v>
      </x:c>
    </x:row>
    <x:row r="6" ht="23" customHeight="1">
      <x:c r="A6" s="49" t="str">
        <x:f>IF(COUNTA(B6:M6)=0,"",ROW()-5)</x:f>
      </x:c>
      <x:c r="B6" s="52"/>
      <x:c r="C6" s="55"/>
      <x:c r="D6" s="55"/>
      <x:c r="E6" s="55"/>
      <x:c r="F6" s="43"/>
      <x:c r="G6" s="43"/>
      <x:c r="H6" s="55"/>
      <x:c r="I6" s="55"/>
      <x:c r="J6" s="55"/>
      <x:c r="K6" s="55"/>
    </x:row>
    <x:row r="7" ht="23" customHeight="1">
      <x:c r="A7" s="50" t="str">
        <x:f>IF(COUNTA(B7:M7)=0,"",ROW()-5)</x:f>
      </x:c>
      <x:c r="B7" s="53"/>
      <x:c r="C7" s="56"/>
      <x:c r="D7" s="56"/>
      <x:c r="E7" s="56"/>
      <x:c r="F7" s="44"/>
      <x:c r="G7" s="44"/>
      <x:c r="H7" s="56"/>
      <x:c r="I7" s="56"/>
      <x:c r="J7" s="56"/>
      <x:c r="K7" s="56"/>
    </x:row>
    <x:row r="8" ht="23" customHeight="1">
      <x:c r="A8" s="50" t="str">
        <x:f>IF(COUNTA(B8:M8)=0,"",ROW()-5)</x:f>
      </x:c>
      <x:c r="B8" s="53"/>
      <x:c r="C8" s="56"/>
      <x:c r="D8" s="56"/>
      <x:c r="E8" s="56"/>
      <x:c r="F8" s="44"/>
      <x:c r="G8" s="44"/>
      <x:c r="H8" s="56"/>
      <x:c r="I8" s="56"/>
      <x:c r="J8" s="56"/>
      <x:c r="K8" s="56"/>
    </x:row>
    <x:row r="9" ht="23" customHeight="1">
      <x:c r="A9" s="50" t="str">
        <x:f>IF(COUNTA(B9:M9)=0,"",ROW()-5)</x:f>
      </x:c>
      <x:c r="B9" s="53"/>
      <x:c r="C9" s="56"/>
      <x:c r="D9" s="56"/>
      <x:c r="E9" s="56"/>
      <x:c r="F9" s="44"/>
      <x:c r="G9" s="44"/>
      <x:c r="H9" s="56"/>
      <x:c r="I9" s="56"/>
      <x:c r="J9" s="56"/>
      <x:c r="K9" s="56"/>
    </x:row>
    <x:row r="10" ht="23" customHeight="1">
      <x:c r="A10" s="50" t="str">
        <x:f>IF(COUNTA(B10:M10)=0,"",ROW()-5)</x:f>
      </x:c>
      <x:c r="B10" s="53"/>
      <x:c r="C10" s="56"/>
      <x:c r="D10" s="56"/>
      <x:c r="E10" s="56"/>
      <x:c r="F10" s="44"/>
      <x:c r="G10" s="44"/>
      <x:c r="H10" s="56"/>
      <x:c r="I10" s="56"/>
      <x:c r="J10" s="56"/>
      <x:c r="K10" s="56"/>
    </x:row>
    <x:row r="11" ht="23" customHeight="1">
      <x:c r="A11" s="50" t="str">
        <x:f>IF(COUNTA(B11:M11)=0,"",ROW()-5)</x:f>
      </x:c>
      <x:c r="B11" s="53"/>
      <x:c r="C11" s="56"/>
      <x:c r="D11" s="56"/>
      <x:c r="E11" s="56"/>
      <x:c r="F11" s="44"/>
      <x:c r="G11" s="44"/>
      <x:c r="H11" s="56"/>
      <x:c r="I11" s="56"/>
      <x:c r="J11" s="56"/>
      <x:c r="K11" s="56"/>
    </x:row>
    <x:row r="12" ht="23" customHeight="1">
      <x:c r="A12" s="50" t="str">
        <x:f>IF(COUNTA(B12:M12)=0,"",ROW()-5)</x:f>
      </x:c>
      <x:c r="B12" s="53"/>
      <x:c r="C12" s="56"/>
      <x:c r="D12" s="56"/>
      <x:c r="E12" s="56"/>
      <x:c r="F12" s="44"/>
      <x:c r="G12" s="44"/>
      <x:c r="H12" s="56"/>
      <x:c r="I12" s="56"/>
      <x:c r="J12" s="56"/>
      <x:c r="K12" s="56"/>
    </x:row>
    <x:row r="13" ht="23" customHeight="1">
      <x:c r="A13" s="50" t="str">
        <x:f>IF(COUNTA(B13:M13)=0,"",ROW()-5)</x:f>
      </x:c>
      <x:c r="B13" s="53"/>
      <x:c r="C13" s="56"/>
      <x:c r="D13" s="56"/>
      <x:c r="E13" s="56"/>
      <x:c r="F13" s="44"/>
      <x:c r="G13" s="44"/>
      <x:c r="H13" s="56"/>
      <x:c r="I13" s="56"/>
      <x:c r="J13" s="56"/>
      <x:c r="K13" s="56"/>
    </x:row>
    <x:row r="14" ht="23" customHeight="1">
      <x:c r="A14" s="50" t="str">
        <x:f>IF(COUNTA(B14:M14)=0,"",ROW()-5)</x:f>
      </x:c>
      <x:c r="B14" s="53"/>
      <x:c r="C14" s="56"/>
      <x:c r="D14" s="56"/>
      <x:c r="E14" s="56"/>
      <x:c r="F14" s="44"/>
      <x:c r="G14" s="44"/>
      <x:c r="H14" s="56"/>
      <x:c r="I14" s="56"/>
      <x:c r="J14" s="56"/>
      <x:c r="K14" s="56"/>
    </x:row>
    <x:row r="15" ht="23" customHeight="1">
      <x:c r="A15" s="50" t="str">
        <x:f>IF(COUNTA(B15:M15)=0,"",ROW()-5)</x:f>
      </x:c>
      <x:c r="B15" s="53"/>
      <x:c r="C15" s="56"/>
      <x:c r="D15" s="56"/>
      <x:c r="E15" s="56"/>
      <x:c r="F15" s="44"/>
      <x:c r="G15" s="44"/>
      <x:c r="H15" s="56"/>
      <x:c r="I15" s="56"/>
      <x:c r="J15" s="56"/>
      <x:c r="K15" s="56"/>
    </x:row>
    <x:row r="16" ht="23" customHeight="1">
      <x:c r="A16" s="50" t="str">
        <x:f>IF(COUNTA(B16:M16)=0,"",ROW()-5)</x:f>
      </x:c>
      <x:c r="B16" s="53"/>
      <x:c r="C16" s="56"/>
      <x:c r="D16" s="56"/>
      <x:c r="E16" s="56"/>
      <x:c r="F16" s="44"/>
      <x:c r="G16" s="44"/>
      <x:c r="H16" s="56"/>
      <x:c r="I16" s="56"/>
      <x:c r="J16" s="56"/>
      <x:c r="K16" s="56"/>
    </x:row>
    <x:row r="17" ht="23" customHeight="1">
      <x:c r="A17" s="50" t="str">
        <x:f>IF(COUNTA(B17:M17)=0,"",ROW()-5)</x:f>
      </x:c>
      <x:c r="B17" s="53"/>
      <x:c r="C17" s="56"/>
      <x:c r="D17" s="56"/>
      <x:c r="E17" s="56"/>
      <x:c r="F17" s="44"/>
      <x:c r="G17" s="44"/>
      <x:c r="H17" s="56"/>
      <x:c r="I17" s="56"/>
      <x:c r="J17" s="56"/>
      <x:c r="K17" s="56"/>
    </x:row>
    <x:row r="18" ht="23" customHeight="1">
      <x:c r="A18" s="50" t="str">
        <x:f>IF(COUNTA(B18:M18)=0,"",ROW()-5)</x:f>
      </x:c>
      <x:c r="B18" s="53"/>
      <x:c r="C18" s="56"/>
      <x:c r="D18" s="56"/>
      <x:c r="E18" s="56"/>
      <x:c r="F18" s="44"/>
      <x:c r="G18" s="44"/>
      <x:c r="H18" s="56"/>
      <x:c r="I18" s="56"/>
      <x:c r="J18" s="56"/>
      <x:c r="K18" s="56"/>
    </x:row>
    <x:row r="19" ht="23" customHeight="1">
      <x:c r="A19" s="50" t="str">
        <x:f>IF(COUNTA(B19:M19)=0,"",ROW()-5)</x:f>
      </x:c>
      <x:c r="B19" s="53"/>
      <x:c r="C19" s="56"/>
      <x:c r="D19" s="56"/>
      <x:c r="E19" s="56"/>
      <x:c r="F19" s="44"/>
      <x:c r="G19" s="44"/>
      <x:c r="H19" s="56"/>
      <x:c r="I19" s="56"/>
      <x:c r="J19" s="56"/>
      <x:c r="K19" s="56"/>
    </x:row>
    <x:row r="20" ht="23" customHeight="1">
      <x:c r="A20" s="50" t="str">
        <x:f>IF(COUNTA(B20:M20)=0,"",ROW()-5)</x:f>
      </x:c>
      <x:c r="B20" s="53"/>
      <x:c r="C20" s="56"/>
      <x:c r="D20" s="56"/>
      <x:c r="E20" s="56"/>
      <x:c r="F20" s="44"/>
      <x:c r="G20" s="44"/>
      <x:c r="H20" s="56"/>
      <x:c r="I20" s="56"/>
      <x:c r="J20" s="56"/>
      <x:c r="K20" s="56"/>
    </x:row>
    <x:row r="21" ht="23" customHeight="1">
      <x:c r="A21" s="50" t="str">
        <x:f>IF(COUNTA(B21:M21)=0,"",ROW()-5)</x:f>
      </x:c>
      <x:c r="B21" s="53"/>
      <x:c r="C21" s="56"/>
      <x:c r="D21" s="56"/>
      <x:c r="E21" s="56"/>
      <x:c r="F21" s="44"/>
      <x:c r="G21" s="44"/>
      <x:c r="H21" s="56"/>
      <x:c r="I21" s="56"/>
      <x:c r="J21" s="56"/>
      <x:c r="K21" s="56"/>
    </x:row>
    <x:row r="22" ht="23" customHeight="1">
      <x:c r="A22" s="50" t="str">
        <x:f>IF(COUNTA(B22:M22)=0,"",ROW()-5)</x:f>
      </x:c>
      <x:c r="B22" s="53"/>
      <x:c r="C22" s="56"/>
      <x:c r="D22" s="56"/>
      <x:c r="E22" s="56"/>
      <x:c r="F22" s="44"/>
      <x:c r="G22" s="44"/>
      <x:c r="H22" s="56"/>
      <x:c r="I22" s="56"/>
      <x:c r="J22" s="56"/>
      <x:c r="K22" s="56"/>
    </x:row>
    <x:row r="23" ht="23" customHeight="1">
      <x:c r="A23" s="50" t="str">
        <x:f>IF(COUNTA(B23:M23)=0,"",ROW()-5)</x:f>
      </x:c>
      <x:c r="B23" s="53"/>
      <x:c r="C23" s="56"/>
      <x:c r="D23" s="56"/>
      <x:c r="E23" s="56"/>
      <x:c r="F23" s="44"/>
      <x:c r="G23" s="44"/>
      <x:c r="H23" s="56"/>
      <x:c r="I23" s="56"/>
      <x:c r="J23" s="56"/>
      <x:c r="K23" s="56"/>
    </x:row>
    <x:row r="24" ht="23" customHeight="1">
      <x:c r="A24" s="50" t="str">
        <x:f>IF(COUNTA(B24:M24)=0,"",ROW()-5)</x:f>
      </x:c>
      <x:c r="B24" s="53"/>
      <x:c r="C24" s="56"/>
      <x:c r="D24" s="56"/>
      <x:c r="E24" s="56"/>
      <x:c r="F24" s="44"/>
      <x:c r="G24" s="44"/>
      <x:c r="H24" s="56"/>
      <x:c r="I24" s="56"/>
      <x:c r="J24" s="56"/>
      <x:c r="K24" s="56"/>
    </x:row>
    <x:row r="25" ht="23" customHeight="1">
      <x:c r="A25" s="51" t="str">
        <x:f>IF(COUNTA(B25:M25)=0,"",ROW()-5)</x:f>
      </x:c>
      <x:c r="B25" s="54"/>
      <x:c r="C25" s="57"/>
      <x:c r="D25" s="57"/>
      <x:c r="E25" s="57"/>
      <x:c r="F25" s="45"/>
      <x:c r="G25" s="45"/>
      <x:c r="H25" s="57"/>
      <x:c r="I25" s="57"/>
      <x:c r="J25" s="57"/>
      <x:c r="K25" s="57"/>
    </x:row>
  </x:sheetData>
  <x:mergeCells>
    <x:mergeCell ref="A1:K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9" max="9" width="12" hidden="0" customWidth="1"/>
    <x:col min="10" max="10" width="14" hidden="0" customWidth="1"/>
    <x:col min="11" max="11" width="17" hidden="0" customWidth="1"/>
    <x:col min="12" max="12" width="19" hidden="0" customWidth="1"/>
    <x:col min="13" max="13" width="19" hidden="0" customWidth="1"/>
    <x:col min="14" max="14" width="16" hidden="0" customWidth="1"/>
    <x:col min="15" max="15" width="24" hidden="0" customWidth="1"/>
    <x:col min="16" max="16" width="30" hidden="0" customWidth="1"/>
    <x:col min="17" max="17" width="30" hidden="0" customWidth="1"/>
  </x:cols>
  <x:sheetData>
    <x:row r="1" ht="24" customHeight="1">
      <x:c r="A1" s="3" t="str">
        <x:v>采样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2" customHeight="1">
      <x:c r="A2" s="6" t="str">
        <x:v>保留原始样号、回次位置、孔深区间、长度和原填采取率；重量单位留空待确认。原表未知列的内容写入附加备注，不推测字段含义。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</x:row>
    <x:row r="4">
      <x:c r="A4" s="38" t="str">
        <x:v>样品编号数</x:v>
      </x:c>
      <x:c r="B4" s="42" t="n">
        <x:f>COUNTIF(B6:B25,"&lt;&gt;")</x:f>
        <x:v>0</x:v>
      </x:c>
      <x:c r="C4" s="38" t="str">
        <x:v>样品进尺合计_m</x:v>
      </x:c>
      <x:c r="D4" s="42" t="str">
        <x:f>IF(COUNT(I6:I25)=0,"",SUM(I6:I25))</x:f>
      </x:c>
      <x:c r="E4" s="38" t="str">
        <x:v>样品岩心合计_m</x:v>
      </x:c>
      <x:c r="F4" s="42" t="str">
        <x:f>IF(COUNT(J6:J25)=0,"",SUM(J6:J25))</x:f>
      </x:c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2"/>
    </x:row>
    <x:row r="5" ht="34" customHeight="1">
      <x:c r="A5" s="31" t="str">
        <x:v>序号</x:v>
      </x:c>
      <x:c r="B5" s="31" t="str">
        <x:v>样品编号</x:v>
      </x:c>
      <x:c r="C5" s="31" t="str">
        <x:v>起回次号</x:v>
      </x:c>
      <x:c r="D5" s="31" t="str">
        <x:v>起位置_m</x:v>
      </x:c>
      <x:c r="E5" s="31" t="str">
        <x:v>止回次号</x:v>
      </x:c>
      <x:c r="F5" s="31" t="str">
        <x:v>止位置_m</x:v>
      </x:c>
      <x:c r="G5" s="31" t="str">
        <x:v>孔深自_m</x:v>
      </x:c>
      <x:c r="H5" s="31" t="str">
        <x:v>孔深至_m</x:v>
      </x:c>
      <x:c r="I5" s="31" t="str">
        <x:v>进尺_m</x:v>
      </x:c>
      <x:c r="J5" s="31" t="str">
        <x:v>岩心长度_m</x:v>
      </x:c>
      <x:c r="K5" s="31" t="str">
        <x:v>采取率_pct（原填）</x:v>
      </x:c>
      <x:c r="L5" s="31" t="str">
        <x:v>采取率_pct（计算）</x:v>
      </x:c>
      <x:c r="M5" s="31" t="str">
        <x:v>重量数值（原单位未明）</x:v>
      </x:c>
      <x:c r="N5" s="31" t="str">
        <x:v>重量单位（手填）</x:v>
      </x:c>
      <x:c r="O5" s="31" t="str">
        <x:v>原表L列值（含义待确认）</x:v>
      </x:c>
      <x:c r="P5" s="31" t="str">
        <x:v>原表M列未命名值/附加备注</x:v>
      </x:c>
      <x:c r="Q5" s="31" t="str">
        <x:v>原表N列未命名值/附加备注</x:v>
      </x:c>
    </x:row>
    <x:row r="6" ht="23" customHeight="1">
      <x:c r="A6" s="49" t="str">
        <x:f>IF(B6="","",ROW()-5)</x:f>
      </x:c>
      <x:c r="B6" s="52"/>
      <x:c r="C6" s="52"/>
      <x:c r="D6" s="55"/>
      <x:c r="E6" s="52"/>
      <x:c r="F6" s="55"/>
      <x:c r="G6" s="55"/>
      <x:c r="H6" s="55"/>
      <x:c r="I6" s="55"/>
      <x:c r="J6" s="55"/>
      <x:c r="K6" s="55"/>
      <x:c r="L6" s="58" t="str">
        <x:f>IF(OR(I6="",J6="",I6&lt;=0),"",J6/I6*100)</x:f>
      </x:c>
      <x:c r="M6" s="55"/>
      <x:c r="N6" s="43"/>
      <x:c r="O6" s="55"/>
      <x:c r="P6" s="43"/>
      <x:c r="Q6" s="43"/>
    </x:row>
    <x:row r="7" ht="23" customHeight="1">
      <x:c r="A7" s="50" t="str">
        <x:f>IF(B7="","",ROW()-5)</x:f>
      </x:c>
      <x:c r="B7" s="53"/>
      <x:c r="C7" s="53"/>
      <x:c r="D7" s="56"/>
      <x:c r="E7" s="53"/>
      <x:c r="F7" s="56"/>
      <x:c r="G7" s="56"/>
      <x:c r="H7" s="56"/>
      <x:c r="I7" s="56"/>
      <x:c r="J7" s="56"/>
      <x:c r="K7" s="56"/>
      <x:c r="L7" s="59" t="str">
        <x:f>IF(OR(I7="",J7="",I7&lt;=0),"",J7/I7*100)</x:f>
      </x:c>
      <x:c r="M7" s="56"/>
      <x:c r="N7" s="44"/>
      <x:c r="O7" s="56"/>
      <x:c r="P7" s="44"/>
      <x:c r="Q7" s="44"/>
    </x:row>
    <x:row r="8" ht="23" customHeight="1">
      <x:c r="A8" s="50" t="str">
        <x:f>IF(B8="","",ROW()-5)</x:f>
      </x:c>
      <x:c r="B8" s="53"/>
      <x:c r="C8" s="53"/>
      <x:c r="D8" s="56"/>
      <x:c r="E8" s="53"/>
      <x:c r="F8" s="56"/>
      <x:c r="G8" s="56"/>
      <x:c r="H8" s="56"/>
      <x:c r="I8" s="56"/>
      <x:c r="J8" s="56"/>
      <x:c r="K8" s="56"/>
      <x:c r="L8" s="59" t="str">
        <x:f>IF(OR(I8="",J8="",I8&lt;=0),"",J8/I8*100)</x:f>
      </x:c>
      <x:c r="M8" s="56"/>
      <x:c r="N8" s="44"/>
      <x:c r="O8" s="56"/>
      <x:c r="P8" s="44"/>
      <x:c r="Q8" s="44"/>
    </x:row>
    <x:row r="9" ht="23" customHeight="1">
      <x:c r="A9" s="50" t="str">
        <x:f>IF(B9="","",ROW()-5)</x:f>
      </x:c>
      <x:c r="B9" s="53"/>
      <x:c r="C9" s="53"/>
      <x:c r="D9" s="56"/>
      <x:c r="E9" s="53"/>
      <x:c r="F9" s="56"/>
      <x:c r="G9" s="56"/>
      <x:c r="H9" s="56"/>
      <x:c r="I9" s="56"/>
      <x:c r="J9" s="56"/>
      <x:c r="K9" s="56"/>
      <x:c r="L9" s="59" t="str">
        <x:f>IF(OR(I9="",J9="",I9&lt;=0),"",J9/I9*100)</x:f>
      </x:c>
      <x:c r="M9" s="56"/>
      <x:c r="N9" s="44"/>
      <x:c r="O9" s="56"/>
      <x:c r="P9" s="44"/>
      <x:c r="Q9" s="44"/>
    </x:row>
    <x:row r="10" ht="23" customHeight="1">
      <x:c r="A10" s="50" t="str">
        <x:f>IF(B10="","",ROW()-5)</x:f>
      </x:c>
      <x:c r="B10" s="53"/>
      <x:c r="C10" s="53"/>
      <x:c r="D10" s="56"/>
      <x:c r="E10" s="53"/>
      <x:c r="F10" s="56"/>
      <x:c r="G10" s="56"/>
      <x:c r="H10" s="56"/>
      <x:c r="I10" s="56"/>
      <x:c r="J10" s="56"/>
      <x:c r="K10" s="56"/>
      <x:c r="L10" s="59" t="str">
        <x:f>IF(OR(I10="",J10="",I10&lt;=0),"",J10/I10*100)</x:f>
      </x:c>
      <x:c r="M10" s="56"/>
      <x:c r="N10" s="44"/>
      <x:c r="O10" s="56"/>
      <x:c r="P10" s="44"/>
      <x:c r="Q10" s="44"/>
    </x:row>
    <x:row r="11" ht="23" customHeight="1">
      <x:c r="A11" s="50" t="str">
        <x:f>IF(B11="","",ROW()-5)</x:f>
      </x:c>
      <x:c r="B11" s="53"/>
      <x:c r="C11" s="53"/>
      <x:c r="D11" s="56"/>
      <x:c r="E11" s="53"/>
      <x:c r="F11" s="56"/>
      <x:c r="G11" s="56"/>
      <x:c r="H11" s="56"/>
      <x:c r="I11" s="56"/>
      <x:c r="J11" s="56"/>
      <x:c r="K11" s="56"/>
      <x:c r="L11" s="59" t="str">
        <x:f>IF(OR(I11="",J11="",I11&lt;=0),"",J11/I11*100)</x:f>
      </x:c>
      <x:c r="M11" s="56"/>
      <x:c r="N11" s="44"/>
      <x:c r="O11" s="56"/>
      <x:c r="P11" s="44"/>
      <x:c r="Q11" s="44"/>
    </x:row>
    <x:row r="12" ht="23" customHeight="1">
      <x:c r="A12" s="50" t="str">
        <x:f>IF(B12="","",ROW()-5)</x:f>
      </x:c>
      <x:c r="B12" s="53"/>
      <x:c r="C12" s="53"/>
      <x:c r="D12" s="56"/>
      <x:c r="E12" s="53"/>
      <x:c r="F12" s="56"/>
      <x:c r="G12" s="56"/>
      <x:c r="H12" s="56"/>
      <x:c r="I12" s="56"/>
      <x:c r="J12" s="56"/>
      <x:c r="K12" s="56"/>
      <x:c r="L12" s="59" t="str">
        <x:f>IF(OR(I12="",J12="",I12&lt;=0),"",J12/I12*100)</x:f>
      </x:c>
      <x:c r="M12" s="56"/>
      <x:c r="N12" s="44"/>
      <x:c r="O12" s="56"/>
      <x:c r="P12" s="44"/>
      <x:c r="Q12" s="44"/>
    </x:row>
    <x:row r="13" ht="23" customHeight="1">
      <x:c r="A13" s="50" t="str">
        <x:f>IF(B13="","",ROW()-5)</x:f>
      </x:c>
      <x:c r="B13" s="53"/>
      <x:c r="C13" s="53"/>
      <x:c r="D13" s="56"/>
      <x:c r="E13" s="53"/>
      <x:c r="F13" s="56"/>
      <x:c r="G13" s="56"/>
      <x:c r="H13" s="56"/>
      <x:c r="I13" s="56"/>
      <x:c r="J13" s="56"/>
      <x:c r="K13" s="56"/>
      <x:c r="L13" s="59" t="str">
        <x:f>IF(OR(I13="",J13="",I13&lt;=0),"",J13/I13*100)</x:f>
      </x:c>
      <x:c r="M13" s="56"/>
      <x:c r="N13" s="44"/>
      <x:c r="O13" s="56"/>
      <x:c r="P13" s="44"/>
      <x:c r="Q13" s="44"/>
    </x:row>
    <x:row r="14" ht="23" customHeight="1">
      <x:c r="A14" s="50" t="str">
        <x:f>IF(B14="","",ROW()-5)</x:f>
      </x:c>
      <x:c r="B14" s="53"/>
      <x:c r="C14" s="53"/>
      <x:c r="D14" s="56"/>
      <x:c r="E14" s="53"/>
      <x:c r="F14" s="56"/>
      <x:c r="G14" s="56"/>
      <x:c r="H14" s="56"/>
      <x:c r="I14" s="56"/>
      <x:c r="J14" s="56"/>
      <x:c r="K14" s="56"/>
      <x:c r="L14" s="59" t="str">
        <x:f>IF(OR(I14="",J14="",I14&lt;=0),"",J14/I14*100)</x:f>
      </x:c>
      <x:c r="M14" s="56"/>
      <x:c r="N14" s="44"/>
      <x:c r="O14" s="56"/>
      <x:c r="P14" s="44"/>
      <x:c r="Q14" s="44"/>
    </x:row>
    <x:row r="15" ht="23" customHeight="1">
      <x:c r="A15" s="50" t="str">
        <x:f>IF(B15="","",ROW()-5)</x:f>
      </x:c>
      <x:c r="B15" s="53"/>
      <x:c r="C15" s="53"/>
      <x:c r="D15" s="56"/>
      <x:c r="E15" s="53"/>
      <x:c r="F15" s="56"/>
      <x:c r="G15" s="56"/>
      <x:c r="H15" s="56"/>
      <x:c r="I15" s="56"/>
      <x:c r="J15" s="56"/>
      <x:c r="K15" s="56"/>
      <x:c r="L15" s="59" t="str">
        <x:f>IF(OR(I15="",J15="",I15&lt;=0),"",J15/I15*100)</x:f>
      </x:c>
      <x:c r="M15" s="56"/>
      <x:c r="N15" s="44"/>
      <x:c r="O15" s="56"/>
      <x:c r="P15" s="44"/>
      <x:c r="Q15" s="44"/>
    </x:row>
    <x:row r="16" ht="23" customHeight="1">
      <x:c r="A16" s="50" t="str">
        <x:f>IF(B16="","",ROW()-5)</x:f>
      </x:c>
      <x:c r="B16" s="53"/>
      <x:c r="C16" s="53"/>
      <x:c r="D16" s="56"/>
      <x:c r="E16" s="53"/>
      <x:c r="F16" s="56"/>
      <x:c r="G16" s="56"/>
      <x:c r="H16" s="56"/>
      <x:c r="I16" s="56"/>
      <x:c r="J16" s="56"/>
      <x:c r="K16" s="56"/>
      <x:c r="L16" s="59" t="str">
        <x:f>IF(OR(I16="",J16="",I16&lt;=0),"",J16/I16*100)</x:f>
      </x:c>
      <x:c r="M16" s="56"/>
      <x:c r="N16" s="44"/>
      <x:c r="O16" s="56"/>
      <x:c r="P16" s="44"/>
      <x:c r="Q16" s="44"/>
    </x:row>
    <x:row r="17" ht="23" customHeight="1">
      <x:c r="A17" s="50" t="str">
        <x:f>IF(B17="","",ROW()-5)</x:f>
      </x:c>
      <x:c r="B17" s="53"/>
      <x:c r="C17" s="53"/>
      <x:c r="D17" s="56"/>
      <x:c r="E17" s="53"/>
      <x:c r="F17" s="56"/>
      <x:c r="G17" s="56"/>
      <x:c r="H17" s="56"/>
      <x:c r="I17" s="56"/>
      <x:c r="J17" s="56"/>
      <x:c r="K17" s="56"/>
      <x:c r="L17" s="59" t="str">
        <x:f>IF(OR(I17="",J17="",I17&lt;=0),"",J17/I17*100)</x:f>
      </x:c>
      <x:c r="M17" s="56"/>
      <x:c r="N17" s="44"/>
      <x:c r="O17" s="56"/>
      <x:c r="P17" s="44"/>
      <x:c r="Q17" s="44"/>
    </x:row>
    <x:row r="18" ht="23" customHeight="1">
      <x:c r="A18" s="50" t="str">
        <x:f>IF(B18="","",ROW()-5)</x:f>
      </x:c>
      <x:c r="B18" s="53"/>
      <x:c r="C18" s="53"/>
      <x:c r="D18" s="56"/>
      <x:c r="E18" s="53"/>
      <x:c r="F18" s="56"/>
      <x:c r="G18" s="56"/>
      <x:c r="H18" s="56"/>
      <x:c r="I18" s="56"/>
      <x:c r="J18" s="56"/>
      <x:c r="K18" s="56"/>
      <x:c r="L18" s="59" t="str">
        <x:f>IF(OR(I18="",J18="",I18&lt;=0),"",J18/I18*100)</x:f>
      </x:c>
      <x:c r="M18" s="56"/>
      <x:c r="N18" s="44"/>
      <x:c r="O18" s="56"/>
      <x:c r="P18" s="44"/>
      <x:c r="Q18" s="44"/>
    </x:row>
    <x:row r="19" ht="23" customHeight="1">
      <x:c r="A19" s="50" t="str">
        <x:f>IF(B19="","",ROW()-5)</x:f>
      </x:c>
      <x:c r="B19" s="53"/>
      <x:c r="C19" s="53"/>
      <x:c r="D19" s="56"/>
      <x:c r="E19" s="53"/>
      <x:c r="F19" s="56"/>
      <x:c r="G19" s="56"/>
      <x:c r="H19" s="56"/>
      <x:c r="I19" s="56"/>
      <x:c r="J19" s="56"/>
      <x:c r="K19" s="56"/>
      <x:c r="L19" s="59" t="str">
        <x:f>IF(OR(I19="",J19="",I19&lt;=0),"",J19/I19*100)</x:f>
      </x:c>
      <x:c r="M19" s="56"/>
      <x:c r="N19" s="44"/>
      <x:c r="O19" s="56"/>
      <x:c r="P19" s="44"/>
      <x:c r="Q19" s="44"/>
    </x:row>
    <x:row r="20" ht="23" customHeight="1">
      <x:c r="A20" s="50" t="str">
        <x:f>IF(B20="","",ROW()-5)</x:f>
      </x:c>
      <x:c r="B20" s="53"/>
      <x:c r="C20" s="53"/>
      <x:c r="D20" s="56"/>
      <x:c r="E20" s="53"/>
      <x:c r="F20" s="56"/>
      <x:c r="G20" s="56"/>
      <x:c r="H20" s="56"/>
      <x:c r="I20" s="56"/>
      <x:c r="J20" s="56"/>
      <x:c r="K20" s="56"/>
      <x:c r="L20" s="59" t="str">
        <x:f>IF(OR(I20="",J20="",I20&lt;=0),"",J20/I20*100)</x:f>
      </x:c>
      <x:c r="M20" s="56"/>
      <x:c r="N20" s="44"/>
      <x:c r="O20" s="56"/>
      <x:c r="P20" s="44"/>
      <x:c r="Q20" s="44"/>
    </x:row>
    <x:row r="21" ht="23" customHeight="1">
      <x:c r="A21" s="50" t="str">
        <x:f>IF(B21="","",ROW()-5)</x:f>
      </x:c>
      <x:c r="B21" s="53"/>
      <x:c r="C21" s="53"/>
      <x:c r="D21" s="56"/>
      <x:c r="E21" s="53"/>
      <x:c r="F21" s="56"/>
      <x:c r="G21" s="56"/>
      <x:c r="H21" s="56"/>
      <x:c r="I21" s="56"/>
      <x:c r="J21" s="56"/>
      <x:c r="K21" s="56"/>
      <x:c r="L21" s="59" t="str">
        <x:f>IF(OR(I21="",J21="",I21&lt;=0),"",J21/I21*100)</x:f>
      </x:c>
      <x:c r="M21" s="56"/>
      <x:c r="N21" s="44"/>
      <x:c r="O21" s="56"/>
      <x:c r="P21" s="44"/>
      <x:c r="Q21" s="44"/>
    </x:row>
    <x:row r="22" ht="23" customHeight="1">
      <x:c r="A22" s="50" t="str">
        <x:f>IF(B22="","",ROW()-5)</x:f>
      </x:c>
      <x:c r="B22" s="53"/>
      <x:c r="C22" s="53"/>
      <x:c r="D22" s="56"/>
      <x:c r="E22" s="53"/>
      <x:c r="F22" s="56"/>
      <x:c r="G22" s="56"/>
      <x:c r="H22" s="56"/>
      <x:c r="I22" s="56"/>
      <x:c r="J22" s="56"/>
      <x:c r="K22" s="56"/>
      <x:c r="L22" s="59" t="str">
        <x:f>IF(OR(I22="",J22="",I22&lt;=0),"",J22/I22*100)</x:f>
      </x:c>
      <x:c r="M22" s="56"/>
      <x:c r="N22" s="44"/>
      <x:c r="O22" s="56"/>
      <x:c r="P22" s="44"/>
      <x:c r="Q22" s="44"/>
    </x:row>
    <x:row r="23" ht="23" customHeight="1">
      <x:c r="A23" s="50" t="str">
        <x:f>IF(B23="","",ROW()-5)</x:f>
      </x:c>
      <x:c r="B23" s="53"/>
      <x:c r="C23" s="53"/>
      <x:c r="D23" s="56"/>
      <x:c r="E23" s="53"/>
      <x:c r="F23" s="56"/>
      <x:c r="G23" s="56"/>
      <x:c r="H23" s="56"/>
      <x:c r="I23" s="56"/>
      <x:c r="J23" s="56"/>
      <x:c r="K23" s="56"/>
      <x:c r="L23" s="59" t="str">
        <x:f>IF(OR(I23="",J23="",I23&lt;=0),"",J23/I23*100)</x:f>
      </x:c>
      <x:c r="M23" s="56"/>
      <x:c r="N23" s="44"/>
      <x:c r="O23" s="56"/>
      <x:c r="P23" s="44"/>
      <x:c r="Q23" s="44"/>
    </x:row>
    <x:row r="24" ht="23" customHeight="1">
      <x:c r="A24" s="50" t="str">
        <x:f>IF(B24="","",ROW()-5)</x:f>
      </x:c>
      <x:c r="B24" s="53"/>
      <x:c r="C24" s="53"/>
      <x:c r="D24" s="56"/>
      <x:c r="E24" s="53"/>
      <x:c r="F24" s="56"/>
      <x:c r="G24" s="56"/>
      <x:c r="H24" s="56"/>
      <x:c r="I24" s="56"/>
      <x:c r="J24" s="56"/>
      <x:c r="K24" s="56"/>
      <x:c r="L24" s="59" t="str">
        <x:f>IF(OR(I24="",J24="",I24&lt;=0),"",J24/I24*100)</x:f>
      </x:c>
      <x:c r="M24" s="56"/>
      <x:c r="N24" s="44"/>
      <x:c r="O24" s="56"/>
      <x:c r="P24" s="44"/>
      <x:c r="Q24" s="44"/>
    </x:row>
    <x:row r="25" ht="23" customHeight="1">
      <x:c r="A25" s="51" t="str">
        <x:f>IF(B25="","",ROW()-5)</x:f>
      </x:c>
      <x:c r="B25" s="54"/>
      <x:c r="C25" s="54"/>
      <x:c r="D25" s="57"/>
      <x:c r="E25" s="54"/>
      <x:c r="F25" s="57"/>
      <x:c r="G25" s="57"/>
      <x:c r="H25" s="57"/>
      <x:c r="I25" s="57"/>
      <x:c r="J25" s="57"/>
      <x:c r="K25" s="57"/>
      <x:c r="L25" s="60" t="str">
        <x:f>IF(OR(I25="",J25="",I25&lt;=0),"",J25/I25*100)</x:f>
      </x:c>
      <x:c r="M25" s="57"/>
      <x:c r="N25" s="45"/>
      <x:c r="O25" s="57"/>
      <x:c r="P25" s="45"/>
      <x:c r="Q25" s="45"/>
    </x:row>
  </x:sheetData>
  <x:mergeCells>
    <x:mergeCell ref="A1:Q1"/>
    <x:mergeCell ref="A2:Q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4" hidden="0" customWidth="1"/>
    <x:col min="4" max="4" width="14" hidden="0" customWidth="1"/>
    <x:col min="5" max="5" width="24" hidden="0" customWidth="1"/>
    <x:col min="6" max="6" width="15" hidden="0" customWidth="1"/>
    <x:col min="7" max="7" width="14" hidden="0" customWidth="1"/>
    <x:col min="8" max="8" width="28" hidden="0" customWidth="1"/>
  </x:cols>
  <x:sheetData>
    <x:row r="1" ht="24" customHeight="1">
      <x:c r="A1" s="3" t="str">
        <x:v>自定义测试项目</x:v>
      </x:c>
      <x:c r="B1" s="3"/>
      <x:c r="C1" s="3"/>
      <x:c r="D1" s="3"/>
      <x:c r="E1" s="3"/>
      <x:c r="F1" s="3"/>
      <x:c r="G1" s="3"/>
      <x:c r="H1" s="3"/>
    </x:row>
    <x:row r="2" ht="32" customHeight="1">
      <x:c r="A2" s="6" t="str">
        <x:v>任意新增项目/元素，不预置Au、Pb、Zn。代码由项目自行设定并在结果长表引用。</x:v>
      </x:c>
      <x:c r="B2" s="6"/>
      <x:c r="C2" s="6"/>
      <x:c r="D2" s="6"/>
      <x:c r="E2" s="6"/>
      <x:c r="F2" s="6"/>
      <x:c r="G2" s="6"/>
      <x:c r="H2" s="6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>
      <x:c r="A4" s="11"/>
      <x:c r="B4" s="11"/>
      <x:c r="C4" s="11"/>
      <x:c r="D4" s="11"/>
      <x:c r="E4" s="11"/>
      <x:c r="F4" s="11"/>
      <x:c r="G4" s="11"/>
      <x:c r="H4" s="11"/>
    </x:row>
    <x:row r="5" ht="34" customHeight="1">
      <x:c r="A5" s="31" t="str">
        <x:v>项目代码</x:v>
      </x:c>
      <x:c r="B5" s="31" t="str">
        <x:v>项目名称/元素</x:v>
      </x:c>
      <x:c r="C5" s="31" t="str">
        <x:v>单位</x:v>
      </x:c>
      <x:c r="D5" s="31" t="str">
        <x:v>检出限</x:v>
      </x:c>
      <x:c r="E5" s="31" t="str">
        <x:v>分析方法</x:v>
      </x:c>
      <x:c r="F5" s="31" t="str">
        <x:v>图中显示</x:v>
      </x:c>
      <x:c r="G5" s="31" t="str">
        <x:v>显示顺序</x:v>
      </x:c>
      <x:c r="H5" s="31" t="str">
        <x:v>备注</x:v>
      </x:c>
    </x:row>
    <x:row r="6" ht="23" customHeight="1">
      <x:c r="A6" s="52"/>
      <x:c r="B6" s="43"/>
      <x:c r="C6" s="52"/>
      <x:c r="D6" s="43"/>
      <x:c r="E6" s="43"/>
      <x:c r="F6" s="33"/>
      <x:c r="G6" s="43"/>
      <x:c r="H6" s="43"/>
    </x:row>
    <x:row r="7" ht="23" customHeight="1">
      <x:c r="A7" s="53"/>
      <x:c r="B7" s="44"/>
      <x:c r="C7" s="53"/>
      <x:c r="D7" s="44"/>
      <x:c r="E7" s="44"/>
      <x:c r="F7" s="34"/>
      <x:c r="G7" s="44"/>
      <x:c r="H7" s="44"/>
    </x:row>
    <x:row r="8" ht="23" customHeight="1">
      <x:c r="A8" s="53"/>
      <x:c r="B8" s="44"/>
      <x:c r="C8" s="53"/>
      <x:c r="D8" s="44"/>
      <x:c r="E8" s="44"/>
      <x:c r="F8" s="34"/>
      <x:c r="G8" s="44"/>
      <x:c r="H8" s="44"/>
    </x:row>
    <x:row r="9" ht="23" customHeight="1">
      <x:c r="A9" s="53"/>
      <x:c r="B9" s="44"/>
      <x:c r="C9" s="53"/>
      <x:c r="D9" s="44"/>
      <x:c r="E9" s="44"/>
      <x:c r="F9" s="34"/>
      <x:c r="G9" s="44"/>
      <x:c r="H9" s="44"/>
    </x:row>
    <x:row r="10" ht="23" customHeight="1">
      <x:c r="A10" s="53"/>
      <x:c r="B10" s="44"/>
      <x:c r="C10" s="53"/>
      <x:c r="D10" s="44"/>
      <x:c r="E10" s="44"/>
      <x:c r="F10" s="34"/>
      <x:c r="G10" s="44"/>
      <x:c r="H10" s="44"/>
    </x:row>
    <x:row r="11" ht="23" customHeight="1">
      <x:c r="A11" s="53"/>
      <x:c r="B11" s="44"/>
      <x:c r="C11" s="53"/>
      <x:c r="D11" s="44"/>
      <x:c r="E11" s="44"/>
      <x:c r="F11" s="34"/>
      <x:c r="G11" s="44"/>
      <x:c r="H11" s="44"/>
    </x:row>
    <x:row r="12" ht="23" customHeight="1">
      <x:c r="A12" s="53"/>
      <x:c r="B12" s="44"/>
      <x:c r="C12" s="53"/>
      <x:c r="D12" s="44"/>
      <x:c r="E12" s="44"/>
      <x:c r="F12" s="34"/>
      <x:c r="G12" s="44"/>
      <x:c r="H12" s="44"/>
    </x:row>
    <x:row r="13" ht="23" customHeight="1">
      <x:c r="A13" s="53"/>
      <x:c r="B13" s="44"/>
      <x:c r="C13" s="53"/>
      <x:c r="D13" s="44"/>
      <x:c r="E13" s="44"/>
      <x:c r="F13" s="34"/>
      <x:c r="G13" s="44"/>
      <x:c r="H13" s="44"/>
    </x:row>
    <x:row r="14" ht="23" customHeight="1">
      <x:c r="A14" s="53"/>
      <x:c r="B14" s="44"/>
      <x:c r="C14" s="53"/>
      <x:c r="D14" s="44"/>
      <x:c r="E14" s="44"/>
      <x:c r="F14" s="34"/>
      <x:c r="G14" s="44"/>
      <x:c r="H14" s="44"/>
    </x:row>
    <x:row r="15" ht="23" customHeight="1">
      <x:c r="A15" s="53"/>
      <x:c r="B15" s="44"/>
      <x:c r="C15" s="53"/>
      <x:c r="D15" s="44"/>
      <x:c r="E15" s="44"/>
      <x:c r="F15" s="34"/>
      <x:c r="G15" s="44"/>
      <x:c r="H15" s="44"/>
    </x:row>
    <x:row r="16" ht="23" customHeight="1">
      <x:c r="A16" s="53"/>
      <x:c r="B16" s="44"/>
      <x:c r="C16" s="53"/>
      <x:c r="D16" s="44"/>
      <x:c r="E16" s="44"/>
      <x:c r="F16" s="34"/>
      <x:c r="G16" s="44"/>
      <x:c r="H16" s="44"/>
    </x:row>
    <x:row r="17" ht="23" customHeight="1">
      <x:c r="A17" s="53"/>
      <x:c r="B17" s="44"/>
      <x:c r="C17" s="53"/>
      <x:c r="D17" s="44"/>
      <x:c r="E17" s="44"/>
      <x:c r="F17" s="34"/>
      <x:c r="G17" s="44"/>
      <x:c r="H17" s="44"/>
    </x:row>
    <x:row r="18" ht="23" customHeight="1">
      <x:c r="A18" s="53"/>
      <x:c r="B18" s="44"/>
      <x:c r="C18" s="53"/>
      <x:c r="D18" s="44"/>
      <x:c r="E18" s="44"/>
      <x:c r="F18" s="34"/>
      <x:c r="G18" s="44"/>
      <x:c r="H18" s="44"/>
    </x:row>
    <x:row r="19" ht="23" customHeight="1">
      <x:c r="A19" s="53"/>
      <x:c r="B19" s="44"/>
      <x:c r="C19" s="53"/>
      <x:c r="D19" s="44"/>
      <x:c r="E19" s="44"/>
      <x:c r="F19" s="34"/>
      <x:c r="G19" s="44"/>
      <x:c r="H19" s="44"/>
    </x:row>
    <x:row r="20" ht="23" customHeight="1">
      <x:c r="A20" s="53"/>
      <x:c r="B20" s="44"/>
      <x:c r="C20" s="53"/>
      <x:c r="D20" s="44"/>
      <x:c r="E20" s="44"/>
      <x:c r="F20" s="34"/>
      <x:c r="G20" s="44"/>
      <x:c r="H20" s="44"/>
    </x:row>
    <x:row r="21" ht="23" customHeight="1">
      <x:c r="A21" s="53"/>
      <x:c r="B21" s="44"/>
      <x:c r="C21" s="53"/>
      <x:c r="D21" s="44"/>
      <x:c r="E21" s="44"/>
      <x:c r="F21" s="34"/>
      <x:c r="G21" s="44"/>
      <x:c r="H21" s="44"/>
    </x:row>
    <x:row r="22" ht="23" customHeight="1">
      <x:c r="A22" s="53"/>
      <x:c r="B22" s="44"/>
      <x:c r="C22" s="53"/>
      <x:c r="D22" s="44"/>
      <x:c r="E22" s="44"/>
      <x:c r="F22" s="34"/>
      <x:c r="G22" s="44"/>
      <x:c r="H22" s="44"/>
    </x:row>
    <x:row r="23" ht="23" customHeight="1">
      <x:c r="A23" s="53"/>
      <x:c r="B23" s="44"/>
      <x:c r="C23" s="53"/>
      <x:c r="D23" s="44"/>
      <x:c r="E23" s="44"/>
      <x:c r="F23" s="34"/>
      <x:c r="G23" s="44"/>
      <x:c r="H23" s="44"/>
    </x:row>
    <x:row r="24" ht="23" customHeight="1">
      <x:c r="A24" s="53"/>
      <x:c r="B24" s="44"/>
      <x:c r="C24" s="53"/>
      <x:c r="D24" s="44"/>
      <x:c r="E24" s="44"/>
      <x:c r="F24" s="34"/>
      <x:c r="G24" s="44"/>
      <x:c r="H24" s="44"/>
    </x:row>
    <x:row r="25" ht="23" customHeight="1">
      <x:c r="A25" s="54"/>
      <x:c r="B25" s="45"/>
      <x:c r="C25" s="54"/>
      <x:c r="D25" s="45"/>
      <x:c r="E25" s="45"/>
      <x:c r="F25" s="35"/>
      <x:c r="G25" s="45"/>
      <x:c r="H25" s="45"/>
    </x:row>
  </x:sheetData>
  <x:mergeCells>
    <x:mergeCell ref="A1:H1"/>
    <x:mergeCell ref="A2:H2"/>
  </x:mergeCells>
  <x:dataValidations count="1">
    <x:dataValidation type="list" sqref="F6:F25">
      <x:formula1>"是,否"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20" hidden="0" customWidth="1"/>
    <x:col min="4" max="4" width="18" hidden="0" customWidth="1"/>
    <x:col min="5" max="5" width="16" hidden="0" customWidth="1"/>
    <x:col min="6" max="6" width="14" hidden="0" customWidth="1"/>
    <x:col min="7" max="7" width="14" hidden="0" customWidth="1"/>
    <x:col min="8" max="8" width="22" hidden="0" customWidth="1"/>
    <x:col min="9" max="9" width="15" hidden="0" customWidth="1"/>
    <x:col min="10" max="10" width="18" hidden="0" customWidth="1"/>
    <x:col min="11" max="11" width="28" hidden="0" customWidth="1"/>
  </x:cols>
  <x:sheetData>
    <x:row r="1" ht="24" customHeight="1">
      <x:c r="A1" s="3" t="str">
        <x:v>样品测试结果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6" t="str">
        <x:v>一行代表一个样品的一项测试；同一样号可出现多行项目。“&lt;检出限”等写入结果原文，不转为0；数值结果可留空。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 ht="34" customHeight="1">
      <x:c r="A5" s="31" t="str">
        <x:v>样品编号</x:v>
      </x:c>
      <x:c r="B5" s="31" t="str">
        <x:v>项目代码</x:v>
      </x:c>
      <x:c r="C5" s="31" t="str">
        <x:v>结果原文</x:v>
      </x:c>
      <x:c r="D5" s="31" t="str">
        <x:v>数值结果（可空）</x:v>
      </x:c>
      <x:c r="E5" s="31" t="str">
        <x:v>结果标记</x:v>
      </x:c>
      <x:c r="F5" s="31" t="str">
        <x:v>单位</x:v>
      </x:c>
      <x:c r="G5" s="31" t="str">
        <x:v>检出限</x:v>
      </x:c>
      <x:c r="H5" s="31" t="str">
        <x:v>分析方法</x:v>
      </x:c>
      <x:c r="I5" s="31" t="str">
        <x:v>检测日期</x:v>
      </x:c>
      <x:c r="J5" s="31" t="str">
        <x:v>报告编号</x:v>
      </x:c>
      <x:c r="K5" s="31" t="str">
        <x:v>备注</x:v>
      </x:c>
    </x:row>
    <x:row r="6" ht="23" customHeight="1">
      <x:c r="A6" s="52"/>
      <x:c r="B6" s="52"/>
      <x:c r="C6" s="43"/>
      <x:c r="D6" s="43"/>
      <x:c r="E6" s="43"/>
      <x:c r="F6" s="52"/>
      <x:c r="G6" s="43"/>
      <x:c r="H6" s="43"/>
      <x:c r="I6" s="61"/>
      <x:c r="J6" s="52"/>
      <x:c r="K6" s="43"/>
    </x:row>
    <x:row r="7" ht="23" customHeight="1">
      <x:c r="A7" s="53"/>
      <x:c r="B7" s="53"/>
      <x:c r="C7" s="44"/>
      <x:c r="D7" s="44"/>
      <x:c r="E7" s="44"/>
      <x:c r="F7" s="53"/>
      <x:c r="G7" s="44"/>
      <x:c r="H7" s="44"/>
      <x:c r="I7" s="62"/>
      <x:c r="J7" s="53"/>
      <x:c r="K7" s="44"/>
    </x:row>
    <x:row r="8" ht="23" customHeight="1">
      <x:c r="A8" s="53"/>
      <x:c r="B8" s="53"/>
      <x:c r="C8" s="44"/>
      <x:c r="D8" s="44"/>
      <x:c r="E8" s="44"/>
      <x:c r="F8" s="53"/>
      <x:c r="G8" s="44"/>
      <x:c r="H8" s="44"/>
      <x:c r="I8" s="62"/>
      <x:c r="J8" s="53"/>
      <x:c r="K8" s="44"/>
    </x:row>
    <x:row r="9" ht="23" customHeight="1">
      <x:c r="A9" s="53"/>
      <x:c r="B9" s="53"/>
      <x:c r="C9" s="44"/>
      <x:c r="D9" s="44"/>
      <x:c r="E9" s="44"/>
      <x:c r="F9" s="53"/>
      <x:c r="G9" s="44"/>
      <x:c r="H9" s="44"/>
      <x:c r="I9" s="62"/>
      <x:c r="J9" s="53"/>
      <x:c r="K9" s="44"/>
    </x:row>
    <x:row r="10" ht="23" customHeight="1">
      <x:c r="A10" s="53"/>
      <x:c r="B10" s="53"/>
      <x:c r="C10" s="44"/>
      <x:c r="D10" s="44"/>
      <x:c r="E10" s="44"/>
      <x:c r="F10" s="53"/>
      <x:c r="G10" s="44"/>
      <x:c r="H10" s="44"/>
      <x:c r="I10" s="62"/>
      <x:c r="J10" s="53"/>
      <x:c r="K10" s="44"/>
    </x:row>
    <x:row r="11" ht="23" customHeight="1">
      <x:c r="A11" s="53"/>
      <x:c r="B11" s="53"/>
      <x:c r="C11" s="44"/>
      <x:c r="D11" s="44"/>
      <x:c r="E11" s="44"/>
      <x:c r="F11" s="53"/>
      <x:c r="G11" s="44"/>
      <x:c r="H11" s="44"/>
      <x:c r="I11" s="62"/>
      <x:c r="J11" s="53"/>
      <x:c r="K11" s="44"/>
    </x:row>
    <x:row r="12" ht="23" customHeight="1">
      <x:c r="A12" s="53"/>
      <x:c r="B12" s="53"/>
      <x:c r="C12" s="44"/>
      <x:c r="D12" s="44"/>
      <x:c r="E12" s="44"/>
      <x:c r="F12" s="53"/>
      <x:c r="G12" s="44"/>
      <x:c r="H12" s="44"/>
      <x:c r="I12" s="62"/>
      <x:c r="J12" s="53"/>
      <x:c r="K12" s="44"/>
    </x:row>
    <x:row r="13" ht="23" customHeight="1">
      <x:c r="A13" s="53"/>
      <x:c r="B13" s="53"/>
      <x:c r="C13" s="44"/>
      <x:c r="D13" s="44"/>
      <x:c r="E13" s="44"/>
      <x:c r="F13" s="53"/>
      <x:c r="G13" s="44"/>
      <x:c r="H13" s="44"/>
      <x:c r="I13" s="62"/>
      <x:c r="J13" s="53"/>
      <x:c r="K13" s="44"/>
    </x:row>
    <x:row r="14" ht="23" customHeight="1">
      <x:c r="A14" s="53"/>
      <x:c r="B14" s="53"/>
      <x:c r="C14" s="44"/>
      <x:c r="D14" s="44"/>
      <x:c r="E14" s="44"/>
      <x:c r="F14" s="53"/>
      <x:c r="G14" s="44"/>
      <x:c r="H14" s="44"/>
      <x:c r="I14" s="62"/>
      <x:c r="J14" s="53"/>
      <x:c r="K14" s="44"/>
    </x:row>
    <x:row r="15" ht="23" customHeight="1">
      <x:c r="A15" s="53"/>
      <x:c r="B15" s="53"/>
      <x:c r="C15" s="44"/>
      <x:c r="D15" s="44"/>
      <x:c r="E15" s="44"/>
      <x:c r="F15" s="53"/>
      <x:c r="G15" s="44"/>
      <x:c r="H15" s="44"/>
      <x:c r="I15" s="62"/>
      <x:c r="J15" s="53"/>
      <x:c r="K15" s="44"/>
    </x:row>
    <x:row r="16" ht="23" customHeight="1">
      <x:c r="A16" s="53"/>
      <x:c r="B16" s="53"/>
      <x:c r="C16" s="44"/>
      <x:c r="D16" s="44"/>
      <x:c r="E16" s="44"/>
      <x:c r="F16" s="53"/>
      <x:c r="G16" s="44"/>
      <x:c r="H16" s="44"/>
      <x:c r="I16" s="62"/>
      <x:c r="J16" s="53"/>
      <x:c r="K16" s="44"/>
    </x:row>
    <x:row r="17" ht="23" customHeight="1">
      <x:c r="A17" s="53"/>
      <x:c r="B17" s="53"/>
      <x:c r="C17" s="44"/>
      <x:c r="D17" s="44"/>
      <x:c r="E17" s="44"/>
      <x:c r="F17" s="53"/>
      <x:c r="G17" s="44"/>
      <x:c r="H17" s="44"/>
      <x:c r="I17" s="62"/>
      <x:c r="J17" s="53"/>
      <x:c r="K17" s="44"/>
    </x:row>
    <x:row r="18" ht="23" customHeight="1">
      <x:c r="A18" s="53"/>
      <x:c r="B18" s="53"/>
      <x:c r="C18" s="44"/>
      <x:c r="D18" s="44"/>
      <x:c r="E18" s="44"/>
      <x:c r="F18" s="53"/>
      <x:c r="G18" s="44"/>
      <x:c r="H18" s="44"/>
      <x:c r="I18" s="62"/>
      <x:c r="J18" s="53"/>
      <x:c r="K18" s="44"/>
    </x:row>
    <x:row r="19" ht="23" customHeight="1">
      <x:c r="A19" s="53"/>
      <x:c r="B19" s="53"/>
      <x:c r="C19" s="44"/>
      <x:c r="D19" s="44"/>
      <x:c r="E19" s="44"/>
      <x:c r="F19" s="53"/>
      <x:c r="G19" s="44"/>
      <x:c r="H19" s="44"/>
      <x:c r="I19" s="62"/>
      <x:c r="J19" s="53"/>
      <x:c r="K19" s="44"/>
    </x:row>
    <x:row r="20" ht="23" customHeight="1">
      <x:c r="A20" s="53"/>
      <x:c r="B20" s="53"/>
      <x:c r="C20" s="44"/>
      <x:c r="D20" s="44"/>
      <x:c r="E20" s="44"/>
      <x:c r="F20" s="53"/>
      <x:c r="G20" s="44"/>
      <x:c r="H20" s="44"/>
      <x:c r="I20" s="62"/>
      <x:c r="J20" s="53"/>
      <x:c r="K20" s="44"/>
    </x:row>
    <x:row r="21" ht="23" customHeight="1">
      <x:c r="A21" s="53"/>
      <x:c r="B21" s="53"/>
      <x:c r="C21" s="44"/>
      <x:c r="D21" s="44"/>
      <x:c r="E21" s="44"/>
      <x:c r="F21" s="53"/>
      <x:c r="G21" s="44"/>
      <x:c r="H21" s="44"/>
      <x:c r="I21" s="62"/>
      <x:c r="J21" s="53"/>
      <x:c r="K21" s="44"/>
    </x:row>
    <x:row r="22" ht="23" customHeight="1">
      <x:c r="A22" s="53"/>
      <x:c r="B22" s="53"/>
      <x:c r="C22" s="44"/>
      <x:c r="D22" s="44"/>
      <x:c r="E22" s="44"/>
      <x:c r="F22" s="53"/>
      <x:c r="G22" s="44"/>
      <x:c r="H22" s="44"/>
      <x:c r="I22" s="62"/>
      <x:c r="J22" s="53"/>
      <x:c r="K22" s="44"/>
    </x:row>
    <x:row r="23" ht="23" customHeight="1">
      <x:c r="A23" s="53"/>
      <x:c r="B23" s="53"/>
      <x:c r="C23" s="44"/>
      <x:c r="D23" s="44"/>
      <x:c r="E23" s="44"/>
      <x:c r="F23" s="53"/>
      <x:c r="G23" s="44"/>
      <x:c r="H23" s="44"/>
      <x:c r="I23" s="62"/>
      <x:c r="J23" s="53"/>
      <x:c r="K23" s="44"/>
    </x:row>
    <x:row r="24" ht="23" customHeight="1">
      <x:c r="A24" s="53"/>
      <x:c r="B24" s="53"/>
      <x:c r="C24" s="44"/>
      <x:c r="D24" s="44"/>
      <x:c r="E24" s="44"/>
      <x:c r="F24" s="53"/>
      <x:c r="G24" s="44"/>
      <x:c r="H24" s="44"/>
      <x:c r="I24" s="62"/>
      <x:c r="J24" s="53"/>
      <x:c r="K24" s="44"/>
    </x:row>
    <x:row r="25" ht="23" customHeight="1">
      <x:c r="A25" s="54"/>
      <x:c r="B25" s="54"/>
      <x:c r="C25" s="45"/>
      <x:c r="D25" s="45"/>
      <x:c r="E25" s="45"/>
      <x:c r="F25" s="54"/>
      <x:c r="G25" s="45"/>
      <x:c r="H25" s="45"/>
      <x:c r="I25" s="63"/>
      <x:c r="J25" s="54"/>
      <x:c r="K25" s="45"/>
    </x:row>
  </x:sheetData>
  <x:mergeCells>
    <x:mergeCell ref="A1:K1"/>
    <x:mergeCell ref="A2:K2"/>
  </x:mergeCells>
  <x:dataValidations count="1">
    <x:dataValidation type="list" sqref="E6:E25">
      <x:formula1>"定量,低于检出限,未检出,高于量程,定性,其他"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16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7" hidden="0" customWidth="1"/>
    <x:col min="11" max="11" width="16" hidden="0" customWidth="1"/>
    <x:col min="12" max="12" width="17" hidden="0" customWidth="1"/>
  </x:cols>
  <x:sheetData>
    <x:row r="1" ht="24" customHeight="1">
      <x:c r="A1" s="3" t="str">
        <x:v>孔深校正及弯曲度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6" t="str">
        <x:v>角度基准、误差/误差率公式与超差阈值尚未定义；原始值、单位和顺序分别保留，不自动校正或换算轨迹。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>
      <x:c r="A4" s="14" t="str">
        <x:v>矿区名称</x:v>
      </x:c>
      <x:c r="B4" s="64"/>
      <x:c r="C4" s="65"/>
      <x:c r="D4" s="14" t="str">
        <x:v>工程编号</x:v>
      </x:c>
      <x:c r="E4" s="64"/>
      <x:c r="F4" s="66"/>
      <x:c r="G4" s="65"/>
      <x:c r="H4" s="11" t="str">
        <x:v>第</x:v>
      </x:c>
      <x:c r="I4" s="16"/>
      <x:c r="J4" s="11" t="str">
        <x:v>页</x:v>
      </x:c>
      <x:c r="K4" s="11"/>
      <x:c r="L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</x:row>
    <x:row r="6" ht="34" customHeight="1">
      <x:c r="A6" s="31" t="str">
        <x:v>序号</x:v>
      </x:c>
      <x:c r="B6" s="31" t="str">
        <x:v>孔深校正</x:v>
      </x:c>
      <x:c r="C6" s="31"/>
      <x:c r="D6" s="31"/>
      <x:c r="E6" s="31"/>
      <x:c r="F6" s="31" t="str">
        <x:v>弯曲度测量</x:v>
      </x:c>
      <x:c r="G6" s="31"/>
      <x:c r="H6" s="31"/>
      <x:c r="I6" s="31"/>
      <x:c r="J6" s="31"/>
      <x:c r="K6" s="11"/>
      <x:c r="L6" s="11"/>
    </x:row>
    <x:row r="7" ht="34" customHeight="1">
      <x:c r="A7" s="31"/>
      <x:c r="B7" s="31" t="str">
        <x:v>记录孔深_m</x:v>
      </x:c>
      <x:c r="C7" s="31" t="str">
        <x:v>校测孔深_m</x:v>
      </x:c>
      <x:c r="D7" s="31" t="str">
        <x:v>误差_m</x:v>
      </x:c>
      <x:c r="E7" s="31" t="str">
        <x:v>误差率_pct</x:v>
      </x:c>
      <x:c r="F7" s="31" t="str">
        <x:v>测量孔深_m</x:v>
      </x:c>
      <x:c r="G7" s="31" t="str">
        <x:v>测量天顶角_deg</x:v>
      </x:c>
      <x:c r="H7" s="31" t="str">
        <x:v>实测方位角_deg</x:v>
      </x:c>
      <x:c r="I7" s="31" t="str">
        <x:v>测量方法</x:v>
      </x:c>
      <x:c r="J7" s="31" t="str">
        <x:v>测量仪器</x:v>
      </x:c>
      <x:c r="K7" s="11"/>
      <x:c r="L7" s="11"/>
    </x:row>
    <x:row r="8" ht="23" customHeight="1">
      <x:c r="A8" s="49" t="str">
        <x:f>IF(B8="","",ROW()-7)</x:f>
      </x:c>
      <x:c r="B8" s="55"/>
      <x:c r="C8" s="55"/>
      <x:c r="D8" s="55"/>
      <x:c r="E8" s="55"/>
      <x:c r="F8" s="55"/>
      <x:c r="G8" s="55"/>
      <x:c r="H8" s="43"/>
      <x:c r="I8" s="43"/>
      <x:c r="J8" s="43"/>
      <x:c r="K8" s="11"/>
      <x:c r="L8" s="11"/>
    </x:row>
    <x:row r="9" ht="23" customHeight="1">
      <x:c r="A9" s="50" t="str">
        <x:f>IF(B9="","",ROW()-7)</x:f>
      </x:c>
      <x:c r="B9" s="56"/>
      <x:c r="C9" s="56"/>
      <x:c r="D9" s="56"/>
      <x:c r="E9" s="56"/>
      <x:c r="F9" s="56"/>
      <x:c r="G9" s="56"/>
      <x:c r="H9" s="44"/>
      <x:c r="I9" s="44"/>
      <x:c r="J9" s="44"/>
      <x:c r="K9" s="11"/>
      <x:c r="L9" s="11"/>
    </x:row>
    <x:row r="10" ht="23" customHeight="1">
      <x:c r="A10" s="50" t="str">
        <x:f>IF(B10="","",ROW()-7)</x:f>
      </x:c>
      <x:c r="B10" s="56"/>
      <x:c r="C10" s="56"/>
      <x:c r="D10" s="56"/>
      <x:c r="E10" s="56"/>
      <x:c r="F10" s="56"/>
      <x:c r="G10" s="56"/>
      <x:c r="H10" s="44"/>
      <x:c r="I10" s="44"/>
      <x:c r="J10" s="44"/>
      <x:c r="K10" s="11"/>
      <x:c r="L10" s="11"/>
    </x:row>
    <x:row r="11" ht="23" customHeight="1">
      <x:c r="A11" s="50" t="str">
        <x:f>IF(B11="","",ROW()-7)</x:f>
      </x:c>
      <x:c r="B11" s="56"/>
      <x:c r="C11" s="56"/>
      <x:c r="D11" s="56"/>
      <x:c r="E11" s="56"/>
      <x:c r="F11" s="56"/>
      <x:c r="G11" s="56"/>
      <x:c r="H11" s="44"/>
      <x:c r="I11" s="44"/>
      <x:c r="J11" s="44"/>
      <x:c r="K11" s="11"/>
      <x:c r="L11" s="11"/>
    </x:row>
    <x:row r="12" ht="23" customHeight="1">
      <x:c r="A12" s="50" t="str">
        <x:f>IF(B12="","",ROW()-7)</x:f>
      </x:c>
      <x:c r="B12" s="56"/>
      <x:c r="C12" s="56"/>
      <x:c r="D12" s="56"/>
      <x:c r="E12" s="56"/>
      <x:c r="F12" s="56"/>
      <x:c r="G12" s="56"/>
      <x:c r="H12" s="44"/>
      <x:c r="I12" s="44"/>
      <x:c r="J12" s="44"/>
      <x:c r="K12" s="11"/>
      <x:c r="L12" s="11"/>
    </x:row>
    <x:row r="13" ht="23" customHeight="1">
      <x:c r="A13" s="50" t="str">
        <x:f>IF(B13="","",ROW()-7)</x:f>
      </x:c>
      <x:c r="B13" s="56"/>
      <x:c r="C13" s="56"/>
      <x:c r="D13" s="56"/>
      <x:c r="E13" s="56"/>
      <x:c r="F13" s="56"/>
      <x:c r="G13" s="56"/>
      <x:c r="H13" s="44"/>
      <x:c r="I13" s="44"/>
      <x:c r="J13" s="44"/>
      <x:c r="K13" s="11"/>
      <x:c r="L13" s="11"/>
    </x:row>
    <x:row r="14" ht="23" customHeight="1">
      <x:c r="A14" s="50" t="str">
        <x:f>IF(B14="","",ROW()-7)</x:f>
      </x:c>
      <x:c r="B14" s="56"/>
      <x:c r="C14" s="56"/>
      <x:c r="D14" s="56"/>
      <x:c r="E14" s="56"/>
      <x:c r="F14" s="56"/>
      <x:c r="G14" s="56"/>
      <x:c r="H14" s="44"/>
      <x:c r="I14" s="44"/>
      <x:c r="J14" s="44"/>
      <x:c r="K14" s="11"/>
      <x:c r="L14" s="11"/>
    </x:row>
    <x:row r="15" ht="23" customHeight="1">
      <x:c r="A15" s="50" t="str">
        <x:f>IF(B15="","",ROW()-7)</x:f>
      </x:c>
      <x:c r="B15" s="56"/>
      <x:c r="C15" s="56"/>
      <x:c r="D15" s="56"/>
      <x:c r="E15" s="56"/>
      <x:c r="F15" s="56"/>
      <x:c r="G15" s="56"/>
      <x:c r="H15" s="44"/>
      <x:c r="I15" s="44"/>
      <x:c r="J15" s="44"/>
      <x:c r="K15" s="11"/>
      <x:c r="L15" s="11"/>
    </x:row>
    <x:row r="16" ht="23" customHeight="1">
      <x:c r="A16" s="50" t="str">
        <x:f>IF(B16="","",ROW()-7)</x:f>
      </x:c>
      <x:c r="B16" s="56"/>
      <x:c r="C16" s="56"/>
      <x:c r="D16" s="56"/>
      <x:c r="E16" s="56"/>
      <x:c r="F16" s="56"/>
      <x:c r="G16" s="56"/>
      <x:c r="H16" s="44"/>
      <x:c r="I16" s="44"/>
      <x:c r="J16" s="44"/>
      <x:c r="K16" s="11"/>
      <x:c r="L16" s="11"/>
    </x:row>
    <x:row r="17" ht="23" customHeight="1">
      <x:c r="A17" s="50" t="str">
        <x:f>IF(B17="","",ROW()-7)</x:f>
      </x:c>
      <x:c r="B17" s="56"/>
      <x:c r="C17" s="56"/>
      <x:c r="D17" s="56"/>
      <x:c r="E17" s="56"/>
      <x:c r="F17" s="56"/>
      <x:c r="G17" s="56"/>
      <x:c r="H17" s="44"/>
      <x:c r="I17" s="44"/>
      <x:c r="J17" s="44"/>
      <x:c r="K17" s="11"/>
      <x:c r="L17" s="11"/>
    </x:row>
    <x:row r="18" ht="23" customHeight="1">
      <x:c r="A18" s="50" t="str">
        <x:f>IF(B18="","",ROW()-7)</x:f>
      </x:c>
      <x:c r="B18" s="56"/>
      <x:c r="C18" s="56"/>
      <x:c r="D18" s="56"/>
      <x:c r="E18" s="56"/>
      <x:c r="F18" s="56"/>
      <x:c r="G18" s="56"/>
      <x:c r="H18" s="44"/>
      <x:c r="I18" s="44"/>
      <x:c r="J18" s="44"/>
      <x:c r="K18" s="11"/>
      <x:c r="L18" s="11"/>
    </x:row>
    <x:row r="19" ht="23" customHeight="1">
      <x:c r="A19" s="50" t="str">
        <x:f>IF(B19="","",ROW()-7)</x:f>
      </x:c>
      <x:c r="B19" s="56"/>
      <x:c r="C19" s="56"/>
      <x:c r="D19" s="56"/>
      <x:c r="E19" s="56"/>
      <x:c r="F19" s="56"/>
      <x:c r="G19" s="56"/>
      <x:c r="H19" s="44"/>
      <x:c r="I19" s="44"/>
      <x:c r="J19" s="44"/>
      <x:c r="K19" s="11"/>
      <x:c r="L19" s="11"/>
    </x:row>
    <x:row r="20" ht="23" customHeight="1">
      <x:c r="A20" s="50" t="str">
        <x:f>IF(B20="","",ROW()-7)</x:f>
      </x:c>
      <x:c r="B20" s="56"/>
      <x:c r="C20" s="56"/>
      <x:c r="D20" s="56"/>
      <x:c r="E20" s="56"/>
      <x:c r="F20" s="56"/>
      <x:c r="G20" s="56"/>
      <x:c r="H20" s="44"/>
      <x:c r="I20" s="44"/>
      <x:c r="J20" s="44"/>
      <x:c r="K20" s="11"/>
      <x:c r="L20" s="11"/>
    </x:row>
    <x:row r="21" ht="23" customHeight="1">
      <x:c r="A21" s="50" t="str">
        <x:f>IF(B21="","",ROW()-7)</x:f>
      </x:c>
      <x:c r="B21" s="56"/>
      <x:c r="C21" s="56"/>
      <x:c r="D21" s="56"/>
      <x:c r="E21" s="56"/>
      <x:c r="F21" s="56"/>
      <x:c r="G21" s="56"/>
      <x:c r="H21" s="44"/>
      <x:c r="I21" s="44"/>
      <x:c r="J21" s="44"/>
      <x:c r="K21" s="11"/>
      <x:c r="L21" s="11"/>
    </x:row>
    <x:row r="22" ht="23" customHeight="1">
      <x:c r="A22" s="50" t="str">
        <x:f>IF(B22="","",ROW()-7)</x:f>
      </x:c>
      <x:c r="B22" s="56"/>
      <x:c r="C22" s="56"/>
      <x:c r="D22" s="56"/>
      <x:c r="E22" s="56"/>
      <x:c r="F22" s="56"/>
      <x:c r="G22" s="56"/>
      <x:c r="H22" s="44"/>
      <x:c r="I22" s="44"/>
      <x:c r="J22" s="44"/>
      <x:c r="K22" s="11"/>
      <x:c r="L22" s="11"/>
    </x:row>
    <x:row r="23" ht="23" customHeight="1">
      <x:c r="A23" s="50" t="str">
        <x:f>IF(B23="","",ROW()-7)</x:f>
      </x:c>
      <x:c r="B23" s="56"/>
      <x:c r="C23" s="56"/>
      <x:c r="D23" s="56"/>
      <x:c r="E23" s="56"/>
      <x:c r="F23" s="56"/>
      <x:c r="G23" s="56"/>
      <x:c r="H23" s="44"/>
      <x:c r="I23" s="44"/>
      <x:c r="J23" s="44"/>
      <x:c r="K23" s="11"/>
      <x:c r="L23" s="11"/>
    </x:row>
    <x:row r="24" ht="23" customHeight="1">
      <x:c r="A24" s="50" t="str">
        <x:f>IF(B24="","",ROW()-7)</x:f>
      </x:c>
      <x:c r="B24" s="56"/>
      <x:c r="C24" s="56"/>
      <x:c r="D24" s="56"/>
      <x:c r="E24" s="56"/>
      <x:c r="F24" s="56"/>
      <x:c r="G24" s="56"/>
      <x:c r="H24" s="44"/>
      <x:c r="I24" s="44"/>
      <x:c r="J24" s="44"/>
      <x:c r="K24" s="11"/>
      <x:c r="L24" s="11"/>
    </x:row>
    <x:row r="25" ht="23" customHeight="1">
      <x:c r="A25" s="51" t="str">
        <x:f>IF(B25="","",ROW()-7)</x:f>
      </x:c>
      <x:c r="B25" s="57"/>
      <x:c r="C25" s="57"/>
      <x:c r="D25" s="57"/>
      <x:c r="E25" s="57"/>
      <x:c r="F25" s="57"/>
      <x:c r="G25" s="57"/>
      <x:c r="H25" s="45"/>
      <x:c r="I25" s="45"/>
      <x:c r="J25" s="45"/>
      <x:c r="K25" s="11"/>
      <x:c r="L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</x:row>
    <x:row r="27">
      <x:c r="A27" s="20" t="str">
        <x:v>孔深校正次数汇总（手填原表值）</x:v>
      </x:c>
      <x:c r="B27" s="21"/>
      <x:c r="C27" s="21"/>
      <x:c r="D27" s="21"/>
      <x:c r="E27" s="21"/>
      <x:c r="F27" s="22"/>
      <x:c r="G27" s="20" t="str">
        <x:v>弯曲度测量次数汇总（手填原表值）</x:v>
      </x:c>
      <x:c r="H27" s="21"/>
      <x:c r="I27" s="21"/>
      <x:c r="J27" s="21"/>
      <x:c r="K27" s="21"/>
      <x:c r="L27" s="22"/>
    </x:row>
    <x:row r="28">
      <x:c r="A28" s="14" t="str">
        <x:v>应测次数</x:v>
      </x:c>
      <x:c r="B28" s="11"/>
      <x:c r="C28" s="14" t="str">
        <x:v>实测次数</x:v>
      </x:c>
      <x:c r="D28" s="11"/>
      <x:c r="E28" s="14" t="str">
        <x:v>超差次数</x:v>
      </x:c>
      <x:c r="F28" s="11"/>
      <x:c r="G28" s="14" t="str">
        <x:v>应测次数</x:v>
      </x:c>
      <x:c r="H28" s="11"/>
      <x:c r="I28" s="14" t="str">
        <x:v>实测次数</x:v>
      </x:c>
      <x:c r="J28" s="11"/>
      <x:c r="K28" s="14" t="str">
        <x:v>超差次数</x:v>
      </x:c>
      <x:c r="L28" s="11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</x:row>
    <x:row r="30">
      <x:c r="A30" s="14" t="str">
        <x:v>记录人</x:v>
      </x:c>
      <x:c r="B30" s="64"/>
      <x:c r="C30" s="65"/>
      <x:c r="D30" s="14" t="str">
        <x:v>日期</x:v>
      </x:c>
      <x:c r="E30" s="64"/>
      <x:c r="F30" s="65"/>
      <x:c r="G30" s="14" t="str">
        <x:v>检查人</x:v>
      </x:c>
      <x:c r="H30" s="64"/>
      <x:c r="I30" s="65"/>
      <x:c r="J30" s="14" t="str">
        <x:v>日期</x:v>
      </x:c>
      <x:c r="K30" s="64"/>
      <x:c r="L30" s="65"/>
    </x:row>
  </x:sheetData>
  <x:mergeCells>
    <x:mergeCell ref="A1:L1"/>
    <x:mergeCell ref="A2:L2"/>
    <x:mergeCell ref="B4:C4"/>
    <x:mergeCell ref="E4:G4"/>
    <x:mergeCell ref="A6:A7"/>
    <x:mergeCell ref="B6:E6"/>
    <x:mergeCell ref="F6:J6"/>
    <x:mergeCell ref="A27:F27"/>
    <x:mergeCell ref="G27:L27"/>
    <x:mergeCell ref="B30:C30"/>
    <x:mergeCell ref="E30:F30"/>
    <x:mergeCell ref="H30:I30"/>
    <x:mergeCell ref="K30:L3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5" hidden="0" customWidth="1"/>
    <x:col min="4" max="4" width="18" hidden="0" customWidth="1"/>
  </x:cols>
  <x:sheetData>
    <x:row r="1" ht="24" customHeight="1">
      <x:c r="A1" s="3" t="str">
        <x:v>图签空白样式</x:v>
      </x:c>
      <x:c r="B1" s="3"/>
      <x:c r="C1" s="3"/>
      <x:c r="D1" s="3"/>
      <x:c r="E1" s="124"/>
    </x:row>
    <x:row r="2" ht="32" customHeight="1">
      <x:c r="A2" s="6" t="str">
        <x:v>版式草案，不含原表中的姓名/单位。四列参考宽度合计90mm；实际打印尺寸需在目标Excel中核对。</x:v>
      </x:c>
      <x:c r="B2" s="6"/>
      <x:c r="C2" s="6"/>
      <x:c r="D2" s="6"/>
      <x:c r="E2" s="124"/>
    </x:row>
    <x:row r="3">
      <x:c r="A3" s="11"/>
      <x:c r="B3" s="11"/>
      <x:c r="C3" s="11"/>
      <x:c r="D3" s="11"/>
      <x:c r="E3" s="124"/>
    </x:row>
    <x:row r="4" ht="26" customHeight="1">
      <x:c r="A4" s="14" t="str">
        <x:v>项目/单位</x:v>
      </x:c>
      <x:c r="B4" s="64"/>
      <x:c r="C4" s="66"/>
      <x:c r="D4" s="65"/>
      <x:c r="E4" s="124"/>
    </x:row>
    <x:row r="5" ht="26" customHeight="1">
      <x:c r="A5" s="14" t="str">
        <x:v>图名</x:v>
      </x:c>
      <x:c r="B5" s="64"/>
      <x:c r="C5" s="66"/>
      <x:c r="D5" s="65"/>
      <x:c r="E5" s="124"/>
    </x:row>
    <x:row r="6" ht="26" customHeight="1">
      <x:c r="A6" s="14" t="str">
        <x:v>拟编</x:v>
      </x:c>
      <x:c r="B6" s="67"/>
      <x:c r="C6" s="14" t="str">
        <x:v>审核</x:v>
      </x:c>
      <x:c r="D6" s="67"/>
      <x:c r="E6" s="124"/>
    </x:row>
    <x:row r="7" ht="26" customHeight="1">
      <x:c r="A7" s="14" t="str">
        <x:v>制图</x:v>
      </x:c>
      <x:c r="B7" s="68"/>
      <x:c r="C7" s="14" t="str">
        <x:v>项目负责</x:v>
      </x:c>
      <x:c r="D7" s="68"/>
      <x:c r="E7" s="124"/>
    </x:row>
    <x:row r="8" ht="26" customHeight="1">
      <x:c r="A8" s="14" t="str">
        <x:v>单位负责</x:v>
      </x:c>
      <x:c r="B8" s="68"/>
      <x:c r="C8" s="14" t="str">
        <x:v>图号</x:v>
      </x:c>
      <x:c r="D8" s="68"/>
      <x:c r="E8" s="124"/>
    </x:row>
    <x:row r="9" ht="26" customHeight="1">
      <x:c r="A9" s="14" t="str">
        <x:v>顺序号</x:v>
      </x:c>
      <x:c r="B9" s="68"/>
      <x:c r="C9" s="14" t="str">
        <x:v>比例尺分母</x:v>
      </x:c>
      <x:c r="D9" s="68"/>
      <x:c r="E9" s="124"/>
    </x:row>
    <x:row r="10" ht="26" customHeight="1">
      <x:c r="A10" s="14" t="str">
        <x:v>日期</x:v>
      </x:c>
      <x:c r="B10" s="69"/>
      <x:c r="C10" s="14" t="str">
        <x:v>资料来源</x:v>
      </x:c>
      <x:c r="D10" s="69"/>
      <x:c r="E10" s="124"/>
    </x:row>
    <x:row r="11">
      <x:c r="A11" s="11"/>
      <x:c r="B11" s="11"/>
      <x:c r="C11" s="11"/>
      <x:c r="D11" s="11"/>
      <x:c r="E11" s="124"/>
    </x:row>
    <x:row r="12">
      <x:c r="A12" s="11"/>
      <x:c r="B12" s="11"/>
      <x:c r="C12" s="11"/>
      <x:c r="D12" s="11"/>
      <x:c r="E12" s="124"/>
    </x:row>
    <x:row r="13">
      <x:c r="A13" s="20" t="str">
        <x:v>图签布局参数（毫米与顺序可编辑）</x:v>
      </x:c>
      <x:c r="B13" s="21"/>
      <x:c r="C13" s="21"/>
      <x:c r="D13" s="22"/>
      <x:c r="E13" s="124"/>
    </x:row>
    <x:row r="14" ht="34" customHeight="1">
      <x:c r="A14" s="31" t="str">
        <x:v>版式项</x:v>
      </x:c>
      <x:c r="B14" s="31" t="str">
        <x:v>宽度_mm</x:v>
      </x:c>
      <x:c r="C14" s="31" t="str">
        <x:v>高度_mm</x:v>
      </x:c>
      <x:c r="D14" s="31" t="str">
        <x:v>顺序</x:v>
      </x:c>
      <x:c r="E14" s="31" t="str">
        <x:v>说明</x:v>
      </x:c>
    </x:row>
    <x:row r="15" ht="23" customHeight="1">
      <x:c r="A15" s="43" t="str">
        <x:v>列A</x:v>
      </x:c>
      <x:c r="B15" s="82" t="n">
        <x:v>20</x:v>
      </x:c>
      <x:c r="C15" s="85"/>
      <x:c r="D15" s="33" t="n">
        <x:v>1</x:v>
      </x:c>
      <x:c r="E15" s="43" t="str">
        <x:v>参考总宽90mm</x:v>
      </x:c>
    </x:row>
    <x:row r="16" ht="23" customHeight="1">
      <x:c r="A16" s="44" t="str">
        <x:v>列B</x:v>
      </x:c>
      <x:c r="B16" s="83" t="n">
        <x:v>25</x:v>
      </x:c>
      <x:c r="C16" s="86"/>
      <x:c r="D16" s="34" t="n">
        <x:v>2</x:v>
      </x:c>
      <x:c r="E16" s="44" t="str">
        <x:v>宽度为参考值</x:v>
      </x:c>
    </x:row>
    <x:row r="17" ht="23" customHeight="1">
      <x:c r="A17" s="44" t="str">
        <x:v>列C</x:v>
      </x:c>
      <x:c r="B17" s="83" t="n">
        <x:v>20</x:v>
      </x:c>
      <x:c r="C17" s="86"/>
      <x:c r="D17" s="34" t="n">
        <x:v>3</x:v>
      </x:c>
      <x:c r="E17" s="44" t="str">
        <x:v>高度由制图要求填写</x:v>
      </x:c>
    </x:row>
    <x:row r="18" ht="23" customHeight="1">
      <x:c r="A18" s="44" t="str">
        <x:v>列D</x:v>
      </x:c>
      <x:c r="B18" s="83" t="n">
        <x:v>25</x:v>
      </x:c>
      <x:c r="C18" s="86"/>
      <x:c r="D18" s="34" t="n">
        <x:v>4</x:v>
      </x:c>
      <x:c r="E18" s="44" t="str">
        <x:v>顺序可调整</x:v>
      </x:c>
    </x:row>
    <x:row r="19" ht="23" customHeight="1">
      <x:c r="A19" s="35" t="str">
        <x:v>参考总宽_mm</x:v>
      </x:c>
      <x:c r="B19" s="84" t="n">
        <x:f>SUM(B15:B18)</x:f>
        <x:v>90</x:v>
      </x:c>
      <x:c r="C19" s="35" t="str">
        <x:v>字段行高_mm（待填）</x:v>
      </x:c>
      <x:c r="D19" s="35"/>
      <x:c r="E19" s="45" t="str">
        <x:v>Excel列宽与打印mm并非同一单位</x:v>
      </x:c>
    </x:row>
    <x:row r="20">
      <x:c r="A20" s="11"/>
      <x:c r="B20" s="11"/>
      <x:c r="C20" s="11"/>
      <x:c r="D20" s="11"/>
      <x:c r="E20" s="124"/>
    </x:row>
    <x:row r="21">
      <x:c r="A21" s="11"/>
      <x:c r="B21" s="11"/>
      <x:c r="C21" s="11"/>
      <x:c r="D21" s="11"/>
      <x:c r="E21" s="124"/>
    </x:row>
    <x:row r="22">
      <x:c r="A22" s="11"/>
      <x:c r="B22" s="11"/>
      <x:c r="C22" s="11"/>
      <x:c r="D22" s="11"/>
      <x:c r="E22" s="124"/>
    </x:row>
    <x:row r="23">
      <x:c r="A23" s="11"/>
      <x:c r="B23" s="11"/>
      <x:c r="C23" s="11"/>
      <x:c r="D23" s="11"/>
      <x:c r="E23" s="124"/>
    </x:row>
    <x:row r="24">
      <x:c r="A24" s="11"/>
      <x:c r="B24" s="11"/>
      <x:c r="C24" s="11"/>
      <x:c r="D24" s="11"/>
      <x:c r="E24" s="124"/>
    </x:row>
    <x:row r="25">
      <x:c r="A25" s="11"/>
      <x:c r="B25" s="11"/>
      <x:c r="C25" s="11"/>
      <x:c r="D25" s="11"/>
      <x:c r="E25" s="124"/>
    </x:row>
    <x:row r="26">
      <x:c r="A26" s="11"/>
      <x:c r="B26" s="11"/>
      <x:c r="C26" s="11"/>
      <x:c r="D26" s="11"/>
      <x:c r="E26" s="124"/>
    </x:row>
    <x:row r="27">
      <x:c r="A27" s="11"/>
      <x:c r="B27" s="11"/>
      <x:c r="C27" s="11"/>
      <x:c r="D27" s="11"/>
      <x:c r="E27" s="124"/>
    </x:row>
    <x:row r="28">
      <x:c r="A28" s="11"/>
      <x:c r="B28" s="11"/>
      <x:c r="C28" s="11"/>
      <x:c r="D28" s="11"/>
      <x:c r="E28" s="124"/>
    </x:row>
    <x:row r="29">
      <x:c r="A29" s="11"/>
      <x:c r="B29" s="11"/>
      <x:c r="C29" s="11"/>
      <x:c r="D29" s="11"/>
      <x:c r="E29" s="124"/>
    </x:row>
    <x:row r="30">
      <x:c r="A30" s="11"/>
      <x:c r="B30" s="11"/>
      <x:c r="C30" s="11"/>
      <x:c r="D30" s="11"/>
      <x:c r="E30" s="124"/>
    </x:row>
  </x:sheetData>
  <x:mergeCells>
    <x:mergeCell ref="A1:D1"/>
    <x:mergeCell ref="A2:D2"/>
    <x:mergeCell ref="B4:D4"/>
    <x:mergeCell ref="B5:D5"/>
    <x:mergeCell ref="A13:D1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3" hidden="0" customWidth="1"/>
    <x:col min="3" max="3" width="13" hidden="0" customWidth="1"/>
    <x:col min="4" max="4" width="11" hidden="0" customWidth="1"/>
    <x:col min="5" max="5" width="12" hidden="0" customWidth="1"/>
    <x:col min="6" max="6" width="13" hidden="0" customWidth="1"/>
    <x:col min="7" max="7" width="15" hidden="0" customWidth="1"/>
    <x:col min="8" max="8" width="14" hidden="0" customWidth="1"/>
    <x:col min="9" max="9" width="18" hidden="0" customWidth="1"/>
    <x:col min="10" max="10" width="18" hidden="0" customWidth="1"/>
    <x:col min="11" max="11" width="10" hidden="0" customWidth="1"/>
    <x:col min="12" max="12" width="10" hidden="0" customWidth="1"/>
  </x:cols>
  <x:sheetData>
    <x:row r="1" ht="24" customHeight="1">
      <x:c r="A1" s="3" t="str">
        <x:v>图面示意（空白版式草案）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6" t="str">
        <x:v>主图框为空白占位，不代表真实岩性/比例尺/轨迹；下方独立小表完整链接9项孔深校正/弯曲度字段与序号。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>
      <x:c r="A4" s="14" t="str">
        <x:v>钻孔编号</x:v>
      </x:c>
      <x:c r="B4" s="24" t="str">
        <x:f>IF('钻孔基本信息'!F4="","",'钻孔基本信息'!F4)</x:f>
      </x:c>
      <x:c r="C4" s="11"/>
      <x:c r="D4" s="14" t="str">
        <x:v>终孔深度_m</x:v>
      </x:c>
      <x:c r="E4" s="24" t="str">
        <x:f>IF('钻孔基本信息'!F5="","",'钻孔基本信息'!F5)</x:f>
      </x:c>
      <x:c r="F4" s="11"/>
      <x:c r="G4" s="11"/>
      <x:c r="H4" s="11"/>
      <x:c r="I4" s="11"/>
      <x:c r="J4" s="11"/>
      <x:c r="K4" s="11"/>
      <x:c r="L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</x:row>
    <x:row r="6" ht="34" customHeight="1">
      <x:c r="A6" s="31" t="str">
        <x:v>钻孔主图示意区（空白；不绘实际岩性与轨迹）</x:v>
      </x:c>
      <x:c r="B6" s="31"/>
      <x:c r="C6" s="31"/>
      <x:c r="D6" s="31"/>
      <x:c r="E6" s="31"/>
      <x:c r="F6" s="31"/>
      <x:c r="G6" s="31"/>
      <x:c r="H6" s="31"/>
      <x:c r="I6" s="31"/>
      <x:c r="J6" s="31"/>
      <x:c r="K6" s="31"/>
      <x:c r="L6" s="31"/>
    </x:row>
    <x:row r="7">
      <x:c r="A7" s="96" t="str">
        <x:v>主图留白区
待用户确认打印版式与数据映射</x:v>
      </x:c>
      <x:c r="B7" s="97"/>
      <x:c r="C7" s="97"/>
      <x:c r="D7" s="97"/>
      <x:c r="E7" s="97"/>
      <x:c r="F7" s="97"/>
      <x:c r="G7" s="97"/>
      <x:c r="H7" s="97"/>
      <x:c r="I7" s="97"/>
      <x:c r="J7" s="97"/>
      <x:c r="K7" s="97"/>
      <x:c r="L7" s="98"/>
    </x:row>
    <x:row r="8">
      <x:c r="A8" s="99"/>
      <x:c r="B8" s="100"/>
      <x:c r="C8" s="100"/>
      <x:c r="D8" s="100"/>
      <x:c r="E8" s="100"/>
      <x:c r="F8" s="100"/>
      <x:c r="G8" s="100"/>
      <x:c r="H8" s="100"/>
      <x:c r="I8" s="100"/>
      <x:c r="J8" s="100"/>
      <x:c r="K8" s="100"/>
      <x:c r="L8" s="101"/>
    </x:row>
    <x:row r="9">
      <x:c r="A9" s="99"/>
      <x:c r="B9" s="100"/>
      <x:c r="C9" s="100"/>
      <x:c r="D9" s="100"/>
      <x:c r="E9" s="100"/>
      <x:c r="F9" s="100"/>
      <x:c r="G9" s="100"/>
      <x:c r="H9" s="100"/>
      <x:c r="I9" s="100"/>
      <x:c r="J9" s="100"/>
      <x:c r="K9" s="100"/>
      <x:c r="L9" s="101"/>
    </x:row>
    <x:row r="10">
      <x:c r="A10" s="99"/>
      <x:c r="B10" s="100"/>
      <x:c r="C10" s="100"/>
      <x:c r="D10" s="100"/>
      <x:c r="E10" s="100"/>
      <x:c r="F10" s="100"/>
      <x:c r="G10" s="100"/>
      <x:c r="H10" s="100"/>
      <x:c r="I10" s="100"/>
      <x:c r="J10" s="100"/>
      <x:c r="K10" s="100"/>
      <x:c r="L10" s="101"/>
    </x:row>
    <x:row r="11">
      <x:c r="A11" s="99"/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1"/>
    </x:row>
    <x:row r="12">
      <x:c r="A12" s="99"/>
      <x:c r="B12" s="100"/>
      <x:c r="C12" s="100"/>
      <x:c r="D12" s="100"/>
      <x:c r="E12" s="100"/>
      <x:c r="F12" s="100"/>
      <x:c r="G12" s="100"/>
      <x:c r="H12" s="100"/>
      <x:c r="I12" s="100"/>
      <x:c r="J12" s="100"/>
      <x:c r="K12" s="100"/>
      <x:c r="L12" s="101"/>
    </x:row>
    <x:row r="13">
      <x:c r="A13" s="102"/>
      <x:c r="B13" s="103"/>
      <x:c r="C13" s="103"/>
      <x:c r="D13" s="103"/>
      <x:c r="E13" s="103"/>
      <x:c r="F13" s="103"/>
      <x:c r="G13" s="103"/>
      <x:c r="H13" s="103"/>
      <x:c r="I13" s="103"/>
      <x:c r="J13" s="103"/>
      <x:c r="K13" s="103"/>
      <x:c r="L13" s="104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</x:row>
    <x:row r="15">
      <x:c r="A15" s="20" t="str">
        <x:v>孔深校正及弯曲度（独立小表；完整保留序号与9项原字段）</x:v>
      </x:c>
      <x:c r="B15" s="21"/>
      <x:c r="C15" s="21"/>
      <x:c r="D15" s="21"/>
      <x:c r="E15" s="21"/>
      <x:c r="F15" s="21"/>
      <x:c r="G15" s="21"/>
      <x:c r="H15" s="21"/>
      <x:c r="I15" s="21"/>
      <x:c r="J15" s="22"/>
      <x:c r="K15" s="11"/>
      <x:c r="L15" s="11"/>
    </x:row>
    <x:row r="16" ht="34" customHeight="1">
      <x:c r="A16" s="31" t="str">
        <x:v>序号</x:v>
      </x:c>
      <x:c r="B16" s="31" t="str">
        <x:v>记录孔深_m</x:v>
      </x:c>
      <x:c r="C16" s="31" t="str">
        <x:v>校测孔深_m</x:v>
      </x:c>
      <x:c r="D16" s="31" t="str">
        <x:v>误差_m</x:v>
      </x:c>
      <x:c r="E16" s="31" t="str">
        <x:v>误差率_pct</x:v>
      </x:c>
      <x:c r="F16" s="31" t="str">
        <x:v>测量孔深_m</x:v>
      </x:c>
      <x:c r="G16" s="31" t="str">
        <x:v>测量天顶角_deg</x:v>
      </x:c>
      <x:c r="H16" s="31" t="str">
        <x:v>实测方位角_deg</x:v>
      </x:c>
      <x:c r="I16" s="31" t="str">
        <x:v>测量方法</x:v>
      </x:c>
      <x:c r="J16" s="31" t="str">
        <x:v>测量仪器</x:v>
      </x:c>
      <x:c r="K16" s="11"/>
      <x:c r="L16" s="11"/>
    </x:row>
    <x:row r="17" ht="20" customHeight="1">
      <x:c r="A17" s="106" t="str">
        <x:f>IF('孔深校正及弯曲度'!A8="","",'孔深校正及弯曲度'!A8)</x:f>
      </x:c>
      <x:c r="B17" s="106" t="str">
        <x:f>IF('孔深校正及弯曲度'!B8="","",'孔深校正及弯曲度'!B8)</x:f>
      </x:c>
      <x:c r="C17" s="106" t="str">
        <x:f>IF('孔深校正及弯曲度'!C8="","",'孔深校正及弯曲度'!C8)</x:f>
      </x:c>
      <x:c r="D17" s="106" t="str">
        <x:f>IF('孔深校正及弯曲度'!D8="","",'孔深校正及弯曲度'!D8)</x:f>
      </x:c>
      <x:c r="E17" s="106" t="str">
        <x:f>IF('孔深校正及弯曲度'!E8="","",'孔深校正及弯曲度'!E8)</x:f>
      </x:c>
      <x:c r="F17" s="106" t="str">
        <x:f>IF('孔深校正及弯曲度'!F8="","",'孔深校正及弯曲度'!F8)</x:f>
      </x:c>
      <x:c r="G17" s="106" t="str">
        <x:f>IF('孔深校正及弯曲度'!G8="","",'孔深校正及弯曲度'!G8)</x:f>
      </x:c>
      <x:c r="H17" s="106" t="str">
        <x:f>IF('孔深校正及弯曲度'!H8="","",'孔深校正及弯曲度'!H8)</x:f>
      </x:c>
      <x:c r="I17" s="106" t="str">
        <x:f>IF('孔深校正及弯曲度'!I8="","",'孔深校正及弯曲度'!I8)</x:f>
      </x:c>
      <x:c r="J17" s="106" t="str">
        <x:f>IF('孔深校正及弯曲度'!J8="","",'孔深校正及弯曲度'!J8)</x:f>
      </x:c>
      <x:c r="K17" s="11"/>
      <x:c r="L17" s="11"/>
    </x:row>
    <x:row r="18" ht="20" customHeight="1">
      <x:c r="A18" s="107" t="str">
        <x:f>IF('孔深校正及弯曲度'!A9="","",'孔深校正及弯曲度'!A9)</x:f>
      </x:c>
      <x:c r="B18" s="107" t="str">
        <x:f>IF('孔深校正及弯曲度'!B9="","",'孔深校正及弯曲度'!B9)</x:f>
      </x:c>
      <x:c r="C18" s="107" t="str">
        <x:f>IF('孔深校正及弯曲度'!C9="","",'孔深校正及弯曲度'!C9)</x:f>
      </x:c>
      <x:c r="D18" s="107" t="str">
        <x:f>IF('孔深校正及弯曲度'!D9="","",'孔深校正及弯曲度'!D9)</x:f>
      </x:c>
      <x:c r="E18" s="107" t="str">
        <x:f>IF('孔深校正及弯曲度'!E9="","",'孔深校正及弯曲度'!E9)</x:f>
      </x:c>
      <x:c r="F18" s="107" t="str">
        <x:f>IF('孔深校正及弯曲度'!F9="","",'孔深校正及弯曲度'!F9)</x:f>
      </x:c>
      <x:c r="G18" s="107" t="str">
        <x:f>IF('孔深校正及弯曲度'!G9="","",'孔深校正及弯曲度'!G9)</x:f>
      </x:c>
      <x:c r="H18" s="107" t="str">
        <x:f>IF('孔深校正及弯曲度'!H9="","",'孔深校正及弯曲度'!H9)</x:f>
      </x:c>
      <x:c r="I18" s="107" t="str">
        <x:f>IF('孔深校正及弯曲度'!I9="","",'孔深校正及弯曲度'!I9)</x:f>
      </x:c>
      <x:c r="J18" s="107" t="str">
        <x:f>IF('孔深校正及弯曲度'!J9="","",'孔深校正及弯曲度'!J9)</x:f>
      </x:c>
      <x:c r="K18" s="11"/>
      <x:c r="L18" s="11"/>
    </x:row>
    <x:row r="19" ht="20" customHeight="1">
      <x:c r="A19" s="107" t="str">
        <x:f>IF('孔深校正及弯曲度'!A10="","",'孔深校正及弯曲度'!A10)</x:f>
      </x:c>
      <x:c r="B19" s="107" t="str">
        <x:f>IF('孔深校正及弯曲度'!B10="","",'孔深校正及弯曲度'!B10)</x:f>
      </x:c>
      <x:c r="C19" s="107" t="str">
        <x:f>IF('孔深校正及弯曲度'!C10="","",'孔深校正及弯曲度'!C10)</x:f>
      </x:c>
      <x:c r="D19" s="107" t="str">
        <x:f>IF('孔深校正及弯曲度'!D10="","",'孔深校正及弯曲度'!D10)</x:f>
      </x:c>
      <x:c r="E19" s="107" t="str">
        <x:f>IF('孔深校正及弯曲度'!E10="","",'孔深校正及弯曲度'!E10)</x:f>
      </x:c>
      <x:c r="F19" s="107" t="str">
        <x:f>IF('孔深校正及弯曲度'!F10="","",'孔深校正及弯曲度'!F10)</x:f>
      </x:c>
      <x:c r="G19" s="107" t="str">
        <x:f>IF('孔深校正及弯曲度'!G10="","",'孔深校正及弯曲度'!G10)</x:f>
      </x:c>
      <x:c r="H19" s="107" t="str">
        <x:f>IF('孔深校正及弯曲度'!H10="","",'孔深校正及弯曲度'!H10)</x:f>
      </x:c>
      <x:c r="I19" s="107" t="str">
        <x:f>IF('孔深校正及弯曲度'!I10="","",'孔深校正及弯曲度'!I10)</x:f>
      </x:c>
      <x:c r="J19" s="107" t="str">
        <x:f>IF('孔深校正及弯曲度'!J10="","",'孔深校正及弯曲度'!J10)</x:f>
      </x:c>
      <x:c r="K19" s="11"/>
      <x:c r="L19" s="11"/>
    </x:row>
    <x:row r="20" ht="20" customHeight="1">
      <x:c r="A20" s="107" t="str">
        <x:f>IF('孔深校正及弯曲度'!A11="","",'孔深校正及弯曲度'!A11)</x:f>
      </x:c>
      <x:c r="B20" s="107" t="str">
        <x:f>IF('孔深校正及弯曲度'!B11="","",'孔深校正及弯曲度'!B11)</x:f>
      </x:c>
      <x:c r="C20" s="107" t="str">
        <x:f>IF('孔深校正及弯曲度'!C11="","",'孔深校正及弯曲度'!C11)</x:f>
      </x:c>
      <x:c r="D20" s="107" t="str">
        <x:f>IF('孔深校正及弯曲度'!D11="","",'孔深校正及弯曲度'!D11)</x:f>
      </x:c>
      <x:c r="E20" s="107" t="str">
        <x:f>IF('孔深校正及弯曲度'!E11="","",'孔深校正及弯曲度'!E11)</x:f>
      </x:c>
      <x:c r="F20" s="107" t="str">
        <x:f>IF('孔深校正及弯曲度'!F11="","",'孔深校正及弯曲度'!F11)</x:f>
      </x:c>
      <x:c r="G20" s="107" t="str">
        <x:f>IF('孔深校正及弯曲度'!G11="","",'孔深校正及弯曲度'!G11)</x:f>
      </x:c>
      <x:c r="H20" s="107" t="str">
        <x:f>IF('孔深校正及弯曲度'!H11="","",'孔深校正及弯曲度'!H11)</x:f>
      </x:c>
      <x:c r="I20" s="107" t="str">
        <x:f>IF('孔深校正及弯曲度'!I11="","",'孔深校正及弯曲度'!I11)</x:f>
      </x:c>
      <x:c r="J20" s="107" t="str">
        <x:f>IF('孔深校正及弯曲度'!J11="","",'孔深校正及弯曲度'!J11)</x:f>
      </x:c>
      <x:c r="K20" s="11"/>
      <x:c r="L20" s="11"/>
    </x:row>
    <x:row r="21" ht="20" customHeight="1">
      <x:c r="A21" s="107" t="str">
        <x:f>IF('孔深校正及弯曲度'!A12="","",'孔深校正及弯曲度'!A12)</x:f>
      </x:c>
      <x:c r="B21" s="107" t="str">
        <x:f>IF('孔深校正及弯曲度'!B12="","",'孔深校正及弯曲度'!B12)</x:f>
      </x:c>
      <x:c r="C21" s="107" t="str">
        <x:f>IF('孔深校正及弯曲度'!C12="","",'孔深校正及弯曲度'!C12)</x:f>
      </x:c>
      <x:c r="D21" s="107" t="str">
        <x:f>IF('孔深校正及弯曲度'!D12="","",'孔深校正及弯曲度'!D12)</x:f>
      </x:c>
      <x:c r="E21" s="107" t="str">
        <x:f>IF('孔深校正及弯曲度'!E12="","",'孔深校正及弯曲度'!E12)</x:f>
      </x:c>
      <x:c r="F21" s="107" t="str">
        <x:f>IF('孔深校正及弯曲度'!F12="","",'孔深校正及弯曲度'!F12)</x:f>
      </x:c>
      <x:c r="G21" s="107" t="str">
        <x:f>IF('孔深校正及弯曲度'!G12="","",'孔深校正及弯曲度'!G12)</x:f>
      </x:c>
      <x:c r="H21" s="107" t="str">
        <x:f>IF('孔深校正及弯曲度'!H12="","",'孔深校正及弯曲度'!H12)</x:f>
      </x:c>
      <x:c r="I21" s="107" t="str">
        <x:f>IF('孔深校正及弯曲度'!I12="","",'孔深校正及弯曲度'!I12)</x:f>
      </x:c>
      <x:c r="J21" s="107" t="str">
        <x:f>IF('孔深校正及弯曲度'!J12="","",'孔深校正及弯曲度'!J12)</x:f>
      </x:c>
      <x:c r="K21" s="11"/>
      <x:c r="L21" s="11"/>
    </x:row>
    <x:row r="22" ht="20" customHeight="1">
      <x:c r="A22" s="107" t="str">
        <x:f>IF('孔深校正及弯曲度'!A13="","",'孔深校正及弯曲度'!A13)</x:f>
      </x:c>
      <x:c r="B22" s="107" t="str">
        <x:f>IF('孔深校正及弯曲度'!B13="","",'孔深校正及弯曲度'!B13)</x:f>
      </x:c>
      <x:c r="C22" s="107" t="str">
        <x:f>IF('孔深校正及弯曲度'!C13="","",'孔深校正及弯曲度'!C13)</x:f>
      </x:c>
      <x:c r="D22" s="107" t="str">
        <x:f>IF('孔深校正及弯曲度'!D13="","",'孔深校正及弯曲度'!D13)</x:f>
      </x:c>
      <x:c r="E22" s="107" t="str">
        <x:f>IF('孔深校正及弯曲度'!E13="","",'孔深校正及弯曲度'!E13)</x:f>
      </x:c>
      <x:c r="F22" s="107" t="str">
        <x:f>IF('孔深校正及弯曲度'!F13="","",'孔深校正及弯曲度'!F13)</x:f>
      </x:c>
      <x:c r="G22" s="107" t="str">
        <x:f>IF('孔深校正及弯曲度'!G13="","",'孔深校正及弯曲度'!G13)</x:f>
      </x:c>
      <x:c r="H22" s="107" t="str">
        <x:f>IF('孔深校正及弯曲度'!H13="","",'孔深校正及弯曲度'!H13)</x:f>
      </x:c>
      <x:c r="I22" s="107" t="str">
        <x:f>IF('孔深校正及弯曲度'!I13="","",'孔深校正及弯曲度'!I13)</x:f>
      </x:c>
      <x:c r="J22" s="107" t="str">
        <x:f>IF('孔深校正及弯曲度'!J13="","",'孔深校正及弯曲度'!J13)</x:f>
      </x:c>
      <x:c r="K22" s="11"/>
      <x:c r="L22" s="11"/>
    </x:row>
    <x:row r="23" ht="20" customHeight="1">
      <x:c r="A23" s="107" t="str">
        <x:f>IF('孔深校正及弯曲度'!A14="","",'孔深校正及弯曲度'!A14)</x:f>
      </x:c>
      <x:c r="B23" s="107" t="str">
        <x:f>IF('孔深校正及弯曲度'!B14="","",'孔深校正及弯曲度'!B14)</x:f>
      </x:c>
      <x:c r="C23" s="107" t="str">
        <x:f>IF('孔深校正及弯曲度'!C14="","",'孔深校正及弯曲度'!C14)</x:f>
      </x:c>
      <x:c r="D23" s="107" t="str">
        <x:f>IF('孔深校正及弯曲度'!D14="","",'孔深校正及弯曲度'!D14)</x:f>
      </x:c>
      <x:c r="E23" s="107" t="str">
        <x:f>IF('孔深校正及弯曲度'!E14="","",'孔深校正及弯曲度'!E14)</x:f>
      </x:c>
      <x:c r="F23" s="107" t="str">
        <x:f>IF('孔深校正及弯曲度'!F14="","",'孔深校正及弯曲度'!F14)</x:f>
      </x:c>
      <x:c r="G23" s="107" t="str">
        <x:f>IF('孔深校正及弯曲度'!G14="","",'孔深校正及弯曲度'!G14)</x:f>
      </x:c>
      <x:c r="H23" s="107" t="str">
        <x:f>IF('孔深校正及弯曲度'!H14="","",'孔深校正及弯曲度'!H14)</x:f>
      </x:c>
      <x:c r="I23" s="107" t="str">
        <x:f>IF('孔深校正及弯曲度'!I14="","",'孔深校正及弯曲度'!I14)</x:f>
      </x:c>
      <x:c r="J23" s="107" t="str">
        <x:f>IF('孔深校正及弯曲度'!J14="","",'孔深校正及弯曲度'!J14)</x:f>
      </x:c>
      <x:c r="K23" s="11"/>
      <x:c r="L23" s="11"/>
    </x:row>
    <x:row r="24" ht="20" customHeight="1">
      <x:c r="A24" s="107" t="str">
        <x:f>IF('孔深校正及弯曲度'!A15="","",'孔深校正及弯曲度'!A15)</x:f>
      </x:c>
      <x:c r="B24" s="107" t="str">
        <x:f>IF('孔深校正及弯曲度'!B15="","",'孔深校正及弯曲度'!B15)</x:f>
      </x:c>
      <x:c r="C24" s="107" t="str">
        <x:f>IF('孔深校正及弯曲度'!C15="","",'孔深校正及弯曲度'!C15)</x:f>
      </x:c>
      <x:c r="D24" s="107" t="str">
        <x:f>IF('孔深校正及弯曲度'!D15="","",'孔深校正及弯曲度'!D15)</x:f>
      </x:c>
      <x:c r="E24" s="107" t="str">
        <x:f>IF('孔深校正及弯曲度'!E15="","",'孔深校正及弯曲度'!E15)</x:f>
      </x:c>
      <x:c r="F24" s="107" t="str">
        <x:f>IF('孔深校正及弯曲度'!F15="","",'孔深校正及弯曲度'!F15)</x:f>
      </x:c>
      <x:c r="G24" s="107" t="str">
        <x:f>IF('孔深校正及弯曲度'!G15="","",'孔深校正及弯曲度'!G15)</x:f>
      </x:c>
      <x:c r="H24" s="107" t="str">
        <x:f>IF('孔深校正及弯曲度'!H15="","",'孔深校正及弯曲度'!H15)</x:f>
      </x:c>
      <x:c r="I24" s="107" t="str">
        <x:f>IF('孔深校正及弯曲度'!I15="","",'孔深校正及弯曲度'!I15)</x:f>
      </x:c>
      <x:c r="J24" s="107" t="str">
        <x:f>IF('孔深校正及弯曲度'!J15="","",'孔深校正及弯曲度'!J15)</x:f>
      </x:c>
      <x:c r="K24" s="11"/>
      <x:c r="L24" s="11"/>
    </x:row>
    <x:row r="25" ht="20" customHeight="1">
      <x:c r="A25" s="107" t="str">
        <x:f>IF('孔深校正及弯曲度'!A16="","",'孔深校正及弯曲度'!A16)</x:f>
      </x:c>
      <x:c r="B25" s="107" t="str">
        <x:f>IF('孔深校正及弯曲度'!B16="","",'孔深校正及弯曲度'!B16)</x:f>
      </x:c>
      <x:c r="C25" s="107" t="str">
        <x:f>IF('孔深校正及弯曲度'!C16="","",'孔深校正及弯曲度'!C16)</x:f>
      </x:c>
      <x:c r="D25" s="107" t="str">
        <x:f>IF('孔深校正及弯曲度'!D16="","",'孔深校正及弯曲度'!D16)</x:f>
      </x:c>
      <x:c r="E25" s="107" t="str">
        <x:f>IF('孔深校正及弯曲度'!E16="","",'孔深校正及弯曲度'!E16)</x:f>
      </x:c>
      <x:c r="F25" s="107" t="str">
        <x:f>IF('孔深校正及弯曲度'!F16="","",'孔深校正及弯曲度'!F16)</x:f>
      </x:c>
      <x:c r="G25" s="107" t="str">
        <x:f>IF('孔深校正及弯曲度'!G16="","",'孔深校正及弯曲度'!G16)</x:f>
      </x:c>
      <x:c r="H25" s="107" t="str">
        <x:f>IF('孔深校正及弯曲度'!H16="","",'孔深校正及弯曲度'!H16)</x:f>
      </x:c>
      <x:c r="I25" s="107" t="str">
        <x:f>IF('孔深校正及弯曲度'!I16="","",'孔深校正及弯曲度'!I16)</x:f>
      </x:c>
      <x:c r="J25" s="107" t="str">
        <x:f>IF('孔深校正及弯曲度'!J16="","",'孔深校正及弯曲度'!J16)</x:f>
      </x:c>
      <x:c r="K25" s="11"/>
      <x:c r="L25" s="11"/>
    </x:row>
    <x:row r="26" ht="20" customHeight="1">
      <x:c r="A26" s="107" t="str">
        <x:f>IF('孔深校正及弯曲度'!A17="","",'孔深校正及弯曲度'!A17)</x:f>
      </x:c>
      <x:c r="B26" s="107" t="str">
        <x:f>IF('孔深校正及弯曲度'!B17="","",'孔深校正及弯曲度'!B17)</x:f>
      </x:c>
      <x:c r="C26" s="107" t="str">
        <x:f>IF('孔深校正及弯曲度'!C17="","",'孔深校正及弯曲度'!C17)</x:f>
      </x:c>
      <x:c r="D26" s="107" t="str">
        <x:f>IF('孔深校正及弯曲度'!D17="","",'孔深校正及弯曲度'!D17)</x:f>
      </x:c>
      <x:c r="E26" s="107" t="str">
        <x:f>IF('孔深校正及弯曲度'!E17="","",'孔深校正及弯曲度'!E17)</x:f>
      </x:c>
      <x:c r="F26" s="107" t="str">
        <x:f>IF('孔深校正及弯曲度'!F17="","",'孔深校正及弯曲度'!F17)</x:f>
      </x:c>
      <x:c r="G26" s="107" t="str">
        <x:f>IF('孔深校正及弯曲度'!G17="","",'孔深校正及弯曲度'!G17)</x:f>
      </x:c>
      <x:c r="H26" s="107" t="str">
        <x:f>IF('孔深校正及弯曲度'!H17="","",'孔深校正及弯曲度'!H17)</x:f>
      </x:c>
      <x:c r="I26" s="107" t="str">
        <x:f>IF('孔深校正及弯曲度'!I17="","",'孔深校正及弯曲度'!I17)</x:f>
      </x:c>
      <x:c r="J26" s="107" t="str">
        <x:f>IF('孔深校正及弯曲度'!J17="","",'孔深校正及弯曲度'!J17)</x:f>
      </x:c>
      <x:c r="K26" s="11"/>
      <x:c r="L26" s="11"/>
    </x:row>
    <x:row r="27" ht="20" customHeight="1">
      <x:c r="A27" s="107" t="str">
        <x:f>IF('孔深校正及弯曲度'!A18="","",'孔深校正及弯曲度'!A18)</x:f>
      </x:c>
      <x:c r="B27" s="107" t="str">
        <x:f>IF('孔深校正及弯曲度'!B18="","",'孔深校正及弯曲度'!B18)</x:f>
      </x:c>
      <x:c r="C27" s="107" t="str">
        <x:f>IF('孔深校正及弯曲度'!C18="","",'孔深校正及弯曲度'!C18)</x:f>
      </x:c>
      <x:c r="D27" s="107" t="str">
        <x:f>IF('孔深校正及弯曲度'!D18="","",'孔深校正及弯曲度'!D18)</x:f>
      </x:c>
      <x:c r="E27" s="107" t="str">
        <x:f>IF('孔深校正及弯曲度'!E18="","",'孔深校正及弯曲度'!E18)</x:f>
      </x:c>
      <x:c r="F27" s="107" t="str">
        <x:f>IF('孔深校正及弯曲度'!F18="","",'孔深校正及弯曲度'!F18)</x:f>
      </x:c>
      <x:c r="G27" s="107" t="str">
        <x:f>IF('孔深校正及弯曲度'!G18="","",'孔深校正及弯曲度'!G18)</x:f>
      </x:c>
      <x:c r="H27" s="107" t="str">
        <x:f>IF('孔深校正及弯曲度'!H18="","",'孔深校正及弯曲度'!H18)</x:f>
      </x:c>
      <x:c r="I27" s="107" t="str">
        <x:f>IF('孔深校正及弯曲度'!I18="","",'孔深校正及弯曲度'!I18)</x:f>
      </x:c>
      <x:c r="J27" s="107" t="str">
        <x:f>IF('孔深校正及弯曲度'!J18="","",'孔深校正及弯曲度'!J18)</x:f>
      </x:c>
      <x:c r="K27" s="11"/>
      <x:c r="L27" s="11"/>
    </x:row>
    <x:row r="28" ht="20" customHeight="1">
      <x:c r="A28" s="107" t="str">
        <x:f>IF('孔深校正及弯曲度'!A19="","",'孔深校正及弯曲度'!A19)</x:f>
      </x:c>
      <x:c r="B28" s="107" t="str">
        <x:f>IF('孔深校正及弯曲度'!B19="","",'孔深校正及弯曲度'!B19)</x:f>
      </x:c>
      <x:c r="C28" s="107" t="str">
        <x:f>IF('孔深校正及弯曲度'!C19="","",'孔深校正及弯曲度'!C19)</x:f>
      </x:c>
      <x:c r="D28" s="107" t="str">
        <x:f>IF('孔深校正及弯曲度'!D19="","",'孔深校正及弯曲度'!D19)</x:f>
      </x:c>
      <x:c r="E28" s="107" t="str">
        <x:f>IF('孔深校正及弯曲度'!E19="","",'孔深校正及弯曲度'!E19)</x:f>
      </x:c>
      <x:c r="F28" s="107" t="str">
        <x:f>IF('孔深校正及弯曲度'!F19="","",'孔深校正及弯曲度'!F19)</x:f>
      </x:c>
      <x:c r="G28" s="107" t="str">
        <x:f>IF('孔深校正及弯曲度'!G19="","",'孔深校正及弯曲度'!G19)</x:f>
      </x:c>
      <x:c r="H28" s="107" t="str">
        <x:f>IF('孔深校正及弯曲度'!H19="","",'孔深校正及弯曲度'!H19)</x:f>
      </x:c>
      <x:c r="I28" s="107" t="str">
        <x:f>IF('孔深校正及弯曲度'!I19="","",'孔深校正及弯曲度'!I19)</x:f>
      </x:c>
      <x:c r="J28" s="107" t="str">
        <x:f>IF('孔深校正及弯曲度'!J19="","",'孔深校正及弯曲度'!J19)</x:f>
      </x:c>
      <x:c r="K28" s="11"/>
      <x:c r="L28" s="11"/>
    </x:row>
    <x:row r="29" ht="20" customHeight="1">
      <x:c r="A29" s="107" t="str">
        <x:f>IF('孔深校正及弯曲度'!A20="","",'孔深校正及弯曲度'!A20)</x:f>
      </x:c>
      <x:c r="B29" s="107" t="str">
        <x:f>IF('孔深校正及弯曲度'!B20="","",'孔深校正及弯曲度'!B20)</x:f>
      </x:c>
      <x:c r="C29" s="107" t="str">
        <x:f>IF('孔深校正及弯曲度'!C20="","",'孔深校正及弯曲度'!C20)</x:f>
      </x:c>
      <x:c r="D29" s="107" t="str">
        <x:f>IF('孔深校正及弯曲度'!D20="","",'孔深校正及弯曲度'!D20)</x:f>
      </x:c>
      <x:c r="E29" s="107" t="str">
        <x:f>IF('孔深校正及弯曲度'!E20="","",'孔深校正及弯曲度'!E20)</x:f>
      </x:c>
      <x:c r="F29" s="107" t="str">
        <x:f>IF('孔深校正及弯曲度'!F20="","",'孔深校正及弯曲度'!F20)</x:f>
      </x:c>
      <x:c r="G29" s="107" t="str">
        <x:f>IF('孔深校正及弯曲度'!G20="","",'孔深校正及弯曲度'!G20)</x:f>
      </x:c>
      <x:c r="H29" s="107" t="str">
        <x:f>IF('孔深校正及弯曲度'!H20="","",'孔深校正及弯曲度'!H20)</x:f>
      </x:c>
      <x:c r="I29" s="107" t="str">
        <x:f>IF('孔深校正及弯曲度'!I20="","",'孔深校正及弯曲度'!I20)</x:f>
      </x:c>
      <x:c r="J29" s="107" t="str">
        <x:f>IF('孔深校正及弯曲度'!J20="","",'孔深校正及弯曲度'!J20)</x:f>
      </x:c>
      <x:c r="K29" s="11"/>
      <x:c r="L29" s="11"/>
    </x:row>
    <x:row r="30" ht="20" customHeight="1">
      <x:c r="A30" s="107" t="str">
        <x:f>IF('孔深校正及弯曲度'!A21="","",'孔深校正及弯曲度'!A21)</x:f>
      </x:c>
      <x:c r="B30" s="107" t="str">
        <x:f>IF('孔深校正及弯曲度'!B21="","",'孔深校正及弯曲度'!B21)</x:f>
      </x:c>
      <x:c r="C30" s="107" t="str">
        <x:f>IF('孔深校正及弯曲度'!C21="","",'孔深校正及弯曲度'!C21)</x:f>
      </x:c>
      <x:c r="D30" s="107" t="str">
        <x:f>IF('孔深校正及弯曲度'!D21="","",'孔深校正及弯曲度'!D21)</x:f>
      </x:c>
      <x:c r="E30" s="107" t="str">
        <x:f>IF('孔深校正及弯曲度'!E21="","",'孔深校正及弯曲度'!E21)</x:f>
      </x:c>
      <x:c r="F30" s="107" t="str">
        <x:f>IF('孔深校正及弯曲度'!F21="","",'孔深校正及弯曲度'!F21)</x:f>
      </x:c>
      <x:c r="G30" s="107" t="str">
        <x:f>IF('孔深校正及弯曲度'!G21="","",'孔深校正及弯曲度'!G21)</x:f>
      </x:c>
      <x:c r="H30" s="107" t="str">
        <x:f>IF('孔深校正及弯曲度'!H21="","",'孔深校正及弯曲度'!H21)</x:f>
      </x:c>
      <x:c r="I30" s="107" t="str">
        <x:f>IF('孔深校正及弯曲度'!I21="","",'孔深校正及弯曲度'!I21)</x:f>
      </x:c>
      <x:c r="J30" s="107" t="str">
        <x:f>IF('孔深校正及弯曲度'!J21="","",'孔深校正及弯曲度'!J21)</x:f>
      </x:c>
      <x:c r="K30" s="11"/>
      <x:c r="L30" s="11"/>
    </x:row>
    <x:row r="31" ht="20" customHeight="1">
      <x:c r="A31" s="107" t="str">
        <x:f>IF('孔深校正及弯曲度'!A22="","",'孔深校正及弯曲度'!A22)</x:f>
      </x:c>
      <x:c r="B31" s="107" t="str">
        <x:f>IF('孔深校正及弯曲度'!B22="","",'孔深校正及弯曲度'!B22)</x:f>
      </x:c>
      <x:c r="C31" s="107" t="str">
        <x:f>IF('孔深校正及弯曲度'!C22="","",'孔深校正及弯曲度'!C22)</x:f>
      </x:c>
      <x:c r="D31" s="107" t="str">
        <x:f>IF('孔深校正及弯曲度'!D22="","",'孔深校正及弯曲度'!D22)</x:f>
      </x:c>
      <x:c r="E31" s="107" t="str">
        <x:f>IF('孔深校正及弯曲度'!E22="","",'孔深校正及弯曲度'!E22)</x:f>
      </x:c>
      <x:c r="F31" s="107" t="str">
        <x:f>IF('孔深校正及弯曲度'!F22="","",'孔深校正及弯曲度'!F22)</x:f>
      </x:c>
      <x:c r="G31" s="107" t="str">
        <x:f>IF('孔深校正及弯曲度'!G22="","",'孔深校正及弯曲度'!G22)</x:f>
      </x:c>
      <x:c r="H31" s="107" t="str">
        <x:f>IF('孔深校正及弯曲度'!H22="","",'孔深校正及弯曲度'!H22)</x:f>
      </x:c>
      <x:c r="I31" s="107" t="str">
        <x:f>IF('孔深校正及弯曲度'!I22="","",'孔深校正及弯曲度'!I22)</x:f>
      </x:c>
      <x:c r="J31" s="107" t="str">
        <x:f>IF('孔深校正及弯曲度'!J22="","",'孔深校正及弯曲度'!J22)</x:f>
      </x:c>
      <x:c r="K31" s="11"/>
      <x:c r="L31" s="11"/>
    </x:row>
    <x:row r="32" ht="20" customHeight="1">
      <x:c r="A32" s="107" t="str">
        <x:f>IF('孔深校正及弯曲度'!A23="","",'孔深校正及弯曲度'!A23)</x:f>
      </x:c>
      <x:c r="B32" s="107" t="str">
        <x:f>IF('孔深校正及弯曲度'!B23="","",'孔深校正及弯曲度'!B23)</x:f>
      </x:c>
      <x:c r="C32" s="107" t="str">
        <x:f>IF('孔深校正及弯曲度'!C23="","",'孔深校正及弯曲度'!C23)</x:f>
      </x:c>
      <x:c r="D32" s="107" t="str">
        <x:f>IF('孔深校正及弯曲度'!D23="","",'孔深校正及弯曲度'!D23)</x:f>
      </x:c>
      <x:c r="E32" s="107" t="str">
        <x:f>IF('孔深校正及弯曲度'!E23="","",'孔深校正及弯曲度'!E23)</x:f>
      </x:c>
      <x:c r="F32" s="107" t="str">
        <x:f>IF('孔深校正及弯曲度'!F23="","",'孔深校正及弯曲度'!F23)</x:f>
      </x:c>
      <x:c r="G32" s="107" t="str">
        <x:f>IF('孔深校正及弯曲度'!G23="","",'孔深校正及弯曲度'!G23)</x:f>
      </x:c>
      <x:c r="H32" s="107" t="str">
        <x:f>IF('孔深校正及弯曲度'!H23="","",'孔深校正及弯曲度'!H23)</x:f>
      </x:c>
      <x:c r="I32" s="107" t="str">
        <x:f>IF('孔深校正及弯曲度'!I23="","",'孔深校正及弯曲度'!I23)</x:f>
      </x:c>
      <x:c r="J32" s="107" t="str">
        <x:f>IF('孔深校正及弯曲度'!J23="","",'孔深校正及弯曲度'!J23)</x:f>
      </x:c>
      <x:c r="K32" s="11"/>
      <x:c r="L32" s="11"/>
    </x:row>
    <x:row r="33" ht="20" customHeight="1">
      <x:c r="A33" s="107" t="str">
        <x:f>IF('孔深校正及弯曲度'!A24="","",'孔深校正及弯曲度'!A24)</x:f>
      </x:c>
      <x:c r="B33" s="107" t="str">
        <x:f>IF('孔深校正及弯曲度'!B24="","",'孔深校正及弯曲度'!B24)</x:f>
      </x:c>
      <x:c r="C33" s="107" t="str">
        <x:f>IF('孔深校正及弯曲度'!C24="","",'孔深校正及弯曲度'!C24)</x:f>
      </x:c>
      <x:c r="D33" s="107" t="str">
        <x:f>IF('孔深校正及弯曲度'!D24="","",'孔深校正及弯曲度'!D24)</x:f>
      </x:c>
      <x:c r="E33" s="107" t="str">
        <x:f>IF('孔深校正及弯曲度'!E24="","",'孔深校正及弯曲度'!E24)</x:f>
      </x:c>
      <x:c r="F33" s="107" t="str">
        <x:f>IF('孔深校正及弯曲度'!F24="","",'孔深校正及弯曲度'!F24)</x:f>
      </x:c>
      <x:c r="G33" s="107" t="str">
        <x:f>IF('孔深校正及弯曲度'!G24="","",'孔深校正及弯曲度'!G24)</x:f>
      </x:c>
      <x:c r="H33" s="107" t="str">
        <x:f>IF('孔深校正及弯曲度'!H24="","",'孔深校正及弯曲度'!H24)</x:f>
      </x:c>
      <x:c r="I33" s="107" t="str">
        <x:f>IF('孔深校正及弯曲度'!I24="","",'孔深校正及弯曲度'!I24)</x:f>
      </x:c>
      <x:c r="J33" s="107" t="str">
        <x:f>IF('孔深校正及弯曲度'!J24="","",'孔深校正及弯曲度'!J24)</x:f>
      </x:c>
      <x:c r="K33" s="11"/>
      <x:c r="L33" s="11"/>
    </x:row>
    <x:row r="34" ht="20" customHeight="1">
      <x:c r="A34" s="108" t="str">
        <x:f>IF('孔深校正及弯曲度'!A25="","",'孔深校正及弯曲度'!A25)</x:f>
      </x:c>
      <x:c r="B34" s="108" t="str">
        <x:f>IF('孔深校正及弯曲度'!B25="","",'孔深校正及弯曲度'!B25)</x:f>
      </x:c>
      <x:c r="C34" s="108" t="str">
        <x:f>IF('孔深校正及弯曲度'!C25="","",'孔深校正及弯曲度'!C25)</x:f>
      </x:c>
      <x:c r="D34" s="108" t="str">
        <x:f>IF('孔深校正及弯曲度'!D25="","",'孔深校正及弯曲度'!D25)</x:f>
      </x:c>
      <x:c r="E34" s="108" t="str">
        <x:f>IF('孔深校正及弯曲度'!E25="","",'孔深校正及弯曲度'!E25)</x:f>
      </x:c>
      <x:c r="F34" s="108" t="str">
        <x:f>IF('孔深校正及弯曲度'!F25="","",'孔深校正及弯曲度'!F25)</x:f>
      </x:c>
      <x:c r="G34" s="108" t="str">
        <x:f>IF('孔深校正及弯曲度'!G25="","",'孔深校正及弯曲度'!G25)</x:f>
      </x:c>
      <x:c r="H34" s="108" t="str">
        <x:f>IF('孔深校正及弯曲度'!H25="","",'孔深校正及弯曲度'!H25)</x:f>
      </x:c>
      <x:c r="I34" s="108" t="str">
        <x:f>IF('孔深校正及弯曲度'!I25="","",'孔深校正及弯曲度'!I25)</x:f>
      </x:c>
      <x:c r="J34" s="108" t="str">
        <x:f>IF('孔深校正及弯曲度'!J25="","",'孔深校正及弯曲度'!J25)</x:f>
      </x:c>
      <x:c r="K34" s="11"/>
      <x:c r="L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</x:row>
    <x:row r="36" ht="23" customHeight="1">
      <x:c r="A36" s="110" t="str">
        <x:v>项目/单位</x:v>
      </x:c>
      <x:c r="B36" s="111"/>
      <x:c r="C36" s="112" t="str">
        <x:f>IF('图签'!B4="","",'图签'!B4)</x:f>
      </x:c>
      <x:c r="D36" s="113"/>
      <x:c r="E36" s="113"/>
      <x:c r="F36" s="113"/>
      <x:c r="G36" s="113"/>
      <x:c r="H36" s="113"/>
      <x:c r="I36" s="113"/>
      <x:c r="J36" s="113"/>
      <x:c r="K36" s="113"/>
      <x:c r="L36" s="114"/>
    </x:row>
    <x:row r="37" ht="23" customHeight="1">
      <x:c r="A37" s="110" t="str">
        <x:v>图名</x:v>
      </x:c>
      <x:c r="B37" s="111"/>
      <x:c r="C37" s="112" t="str">
        <x:f>IF('图签'!B5="","",'图签'!B5)</x:f>
      </x:c>
      <x:c r="D37" s="113"/>
      <x:c r="E37" s="113"/>
      <x:c r="F37" s="113"/>
      <x:c r="G37" s="113"/>
      <x:c r="H37" s="113"/>
      <x:c r="I37" s="113"/>
      <x:c r="J37" s="113"/>
      <x:c r="K37" s="113"/>
      <x:c r="L37" s="114"/>
    </x:row>
    <x:row r="38" ht="23" customHeight="1">
      <x:c r="A38" s="110" t="str">
        <x:v>拟编</x:v>
      </x:c>
      <x:c r="B38" s="111"/>
      <x:c r="C38" s="24" t="str">
        <x:f>IF('图签'!B6="","",'图签'!B6)</x:f>
      </x:c>
      <x:c r="D38" s="110" t="str">
        <x:v>审核</x:v>
      </x:c>
      <x:c r="E38" s="111"/>
      <x:c r="F38" s="24" t="str">
        <x:f>IF('图签'!D6="","",'图签'!D6)</x:f>
      </x:c>
      <x:c r="G38" s="110" t="str">
        <x:v>制图</x:v>
      </x:c>
      <x:c r="H38" s="111"/>
      <x:c r="I38" s="24" t="str">
        <x:f>IF('图签'!B7="","",'图签'!B7)</x:f>
      </x:c>
      <x:c r="J38" s="110" t="str">
        <x:v>项目负责</x:v>
      </x:c>
      <x:c r="K38" s="111"/>
      <x:c r="L38" s="24" t="str">
        <x:f>IF('图签'!D7="","",'图签'!D7)</x:f>
      </x:c>
    </x:row>
    <x:row r="39" ht="23" customHeight="1">
      <x:c r="A39" s="110" t="str">
        <x:v>单位负责</x:v>
      </x:c>
      <x:c r="B39" s="111"/>
      <x:c r="C39" s="24" t="str">
        <x:f>IF('图签'!B8="","",'图签'!B8)</x:f>
      </x:c>
      <x:c r="D39" s="110" t="str">
        <x:v>图号</x:v>
      </x:c>
      <x:c r="E39" s="111"/>
      <x:c r="F39" s="24" t="str">
        <x:f>IF('图签'!D8="","",'图签'!D8)</x:f>
      </x:c>
      <x:c r="G39" s="110" t="str">
        <x:v>顺序号</x:v>
      </x:c>
      <x:c r="H39" s="111"/>
      <x:c r="I39" s="24" t="str">
        <x:f>IF('图签'!B9="","",'图签'!B9)</x:f>
      </x:c>
      <x:c r="J39" s="110" t="str">
        <x:v>比例尺分母</x:v>
      </x:c>
      <x:c r="K39" s="111"/>
      <x:c r="L39" s="24" t="str">
        <x:f>IF('图签'!D9="","",'图签'!D9)</x:f>
      </x:c>
    </x:row>
    <x:row r="40" ht="23" customHeight="1">
      <x:c r="A40" s="110" t="str">
        <x:v>日期</x:v>
      </x:c>
      <x:c r="B40" s="111"/>
      <x:c r="C40" s="112" t="str">
        <x:f>IF('图签'!B10="","",'图签'!B10)</x:f>
      </x:c>
      <x:c r="D40" s="113"/>
      <x:c r="E40" s="113"/>
      <x:c r="F40" s="114"/>
      <x:c r="G40" s="110" t="str">
        <x:v>资料来源</x:v>
      </x:c>
      <x:c r="H40" s="111"/>
      <x:c r="I40" s="112" t="str">
        <x:f>IF('图签'!D10="","",'图签'!D10)</x:f>
      </x:c>
      <x:c r="J40" s="113"/>
      <x:c r="K40" s="113"/>
      <x:c r="L40" s="114"/>
    </x:row>
  </x:sheetData>
  <x:mergeCells>
    <x:mergeCell ref="A1:L1"/>
    <x:mergeCell ref="A2:L2"/>
    <x:mergeCell ref="A6:L6"/>
    <x:mergeCell ref="A7:L13"/>
    <x:mergeCell ref="A15:J15"/>
    <x:mergeCell ref="A36:B36"/>
    <x:mergeCell ref="A37:B37"/>
    <x:mergeCell ref="A38:B38"/>
    <x:mergeCell ref="D38:E38"/>
    <x:mergeCell ref="G38:H38"/>
    <x:mergeCell ref="J38:K38"/>
    <x:mergeCell ref="A39:B39"/>
    <x:mergeCell ref="D39:E39"/>
    <x:mergeCell ref="G39:H39"/>
    <x:mergeCell ref="J39:K39"/>
    <x:mergeCell ref="A40:B40"/>
    <x:mergeCell ref="G40:H40"/>
    <x:mergeCell ref="C36:L36"/>
    <x:mergeCell ref="C37:L37"/>
    <x:mergeCell ref="C40:F40"/>
    <x:mergeCell ref="I40:L4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0" hidden="0" customWidth="1"/>
    <x:col min="3" max="3" width="28" hidden="0" customWidth="1"/>
    <x:col min="4" max="4" width="90" hidden="0" customWidth="1"/>
  </x:cols>
  <x:sheetData>
    <x:row r="1" ht="24" customHeight="1">
      <x:c r="A1" s="3" t="str">
        <x:v>填写说明与限制</x:v>
      </x:c>
      <x:c r="B1" s="3"/>
      <x:c r="C1" s="3"/>
      <x:c r="D1" s="3"/>
    </x:row>
    <x:row r="2" ht="32" customHeight="1">
      <x:c r="A2" s="6" t="str">
        <x:v>本模板作为山兔整合钻孔图输入；先填白色数据区，生成图件后核对来源与沿孔深。原始数据须另存备份。</x:v>
      </x:c>
      <x:c r="B2" s="6"/>
      <x:c r="C2" s="6"/>
      <x:c r="D2" s="6"/>
    </x:row>
    <x:row r="3">
      <x:c r="A3" s="11"/>
      <x:c r="B3" s="11"/>
      <x:c r="C3" s="11"/>
      <x:c r="D3" s="11"/>
    </x:row>
    <x:row r="4" ht="48" customHeight="1">
      <x:c r="A4" s="119" t="str">
        <x:v>1</x:v>
      </x:c>
      <x:c r="B4" s="122" t="str">
        <x:v>先填钻孔基本信息：确认孔号、终孔深度、孔深基准、坐标系和角度定义。文件名与原表标题的孔号不一致，模板中的孔号保持空白。</x:v>
      </x:c>
      <x:c r="C4" s="11"/>
      <x:c r="D4" s="11"/>
    </x:row>
    <x:row r="5" ht="48" customHeight="1">
      <x:c r="A5" s="120" t="str">
        <x:v>2</x:v>
      </x:c>
      <x:c r="B5" s="66" t="str">
        <x:v>原始回次、分层和采样记录应按来源逐行录入；白色单元格手填，浅蓝单元格为公式/链接。原始采取率保留，计算采取率另列。</x:v>
      </x:c>
      <x:c r="C5" s="11"/>
      <x:c r="D5" s="11"/>
    </x:row>
    <x:row r="6" ht="48" customHeight="1">
      <x:c r="A6" s="120" t="str">
        <x:v>3</x:v>
      </x:c>
      <x:c r="B6" s="66" t="str">
        <x:v>分层-地质综合是独立人工汇总，不会自动覆盖或同步原始分层；确认后再录入。不要把源表中无边界的等长占位行当成实际记录。</x:v>
      </x:c>
      <x:c r="C6" s="11"/>
      <x:c r="D6" s="11"/>
    </x:row>
    <x:row r="7" ht="48" customHeight="1">
      <x:c r="A7" s="120" t="str">
        <x:v>4</x:v>
      </x:c>
      <x:c r="B7" s="66" t="str">
        <x:v>测试项目可自行增加元素/指标代码与单位。样品测试结果一行对应一个样品的一项检测；同一样号可重复。将“&lt;检出限”等写入结果原文，不得转成0。</x:v>
      </x:c>
      <x:c r="C7" s="11"/>
      <x:c r="D7" s="11"/>
    </x:row>
    <x:row r="8" ht="48" customHeight="1">
      <x:c r="A8" s="120" t="str">
        <x:v>5</x:v>
      </x:c>
      <x:c r="B8" s="66" t="str">
        <x:v>采样重量单位未从源表确认；重量单位单独手填。未知源列放入附加备注，保持原值和来源位置，不按猜测命名。</x:v>
      </x:c>
      <x:c r="C8" s="11"/>
      <x:c r="D8" s="11"/>
    </x:row>
    <x:row r="9" ht="48" customHeight="1">
      <x:c r="A9" s="120" t="str">
        <x:v>6</x:v>
      </x:c>
      <x:c r="B9" s="66" t="str">
        <x:v>孔深校正/弯曲度的记录孔深、校测孔深、误差、误差率、测量孔深、天顶角、方位角、方法和仪器分别保留。角度基准、误差公式和超差阈值未定义，因此全部手填，不推算轨迹。</x:v>
      </x:c>
      <x:c r="C9" s="11"/>
      <x:c r="D9" s="11"/>
    </x:row>
    <x:row r="10" ht="48" customHeight="1">
      <x:c r="A10" s="120" t="str">
        <x:v>7</x:v>
      </x:c>
      <x:c r="B10" s="66" t="str">
        <x:v>图面示意仅展示空白布局，主图未绘岩性、未计算深度比例、未生成真实轨迹；侧表/图签链接输入页。图签宽高和顺序是可编辑参考值，实际打印尺寸需要复核。</x:v>
      </x:c>
      <x:c r="C10" s="11"/>
      <x:c r="D10" s="11"/>
    </x:row>
    <x:row r="11" ht="48" customHeight="1">
      <x:c r="A11" s="120" t="str">
        <x:v>8</x:v>
      </x:c>
      <x:c r="B11" s="66" t="str">
        <x:v>源结构参考：ZK2303-1回次表+分层+采样(1).xls（回次表、分层-原始记录、分层-地质综合、采样）；孔深校正及弯曲度测量记录表.docx。模板未复制原样品、矿区、姓名或检测值。</x:v>
      </x:c>
      <x:c r="C11" s="11"/>
      <x:c r="D11" s="11"/>
    </x:row>
    <x:row r="12" ht="48" customHeight="1">
      <x:c r="A12" s="121" t="str">
        <x:v>9</x:v>
      </x:c>
      <x:c r="B12" s="123" t="str">
        <x:v>使用支持整合模板的山兔版本导入：测试项目按代码、单位和显示顺序读取；图中独立列出孔深校正/弯曲度表及图签。空模板不生成实测图。公式汇总不作为几何依据；此工作簿不含宏，不生成GMT zkt文件。</x:v>
      </x:c>
      <x:c r="C12" s="11"/>
      <x:c r="D12" s="11"/>
    </x:row>
    <x:row r="13">
      <x:c r="A13" s="11"/>
      <x:c r="B13" s="11"/>
      <x:c r="C13" s="11"/>
      <x:c r="D13" s="11"/>
    </x:row>
    <x:row r="14">
      <x:c r="A14" s="11"/>
      <x:c r="B14" s="11"/>
      <x:c r="C14" s="11"/>
      <x:c r="D14" s="11"/>
    </x:row>
    <x:row r="15">
      <x:c r="A15" s="11"/>
      <x:c r="B15" s="11"/>
      <x:c r="C15" s="11"/>
      <x:c r="D15" s="11"/>
    </x:row>
    <x:row r="16">
      <x:c r="A16" s="11"/>
      <x:c r="B16" s="11"/>
      <x:c r="C16" s="11"/>
      <x:c r="D16" s="11"/>
    </x:row>
    <x:row r="17">
      <x:c r="A17" s="11"/>
      <x:c r="B17" s="11"/>
      <x:c r="C17" s="11"/>
      <x:c r="D17" s="11"/>
    </x:row>
    <x:row r="18">
      <x:c r="A18" s="11"/>
      <x:c r="B18" s="11"/>
      <x:c r="C18" s="11"/>
      <x:c r="D18" s="11"/>
    </x:row>
    <x:row r="19">
      <x:c r="A19" s="11"/>
      <x:c r="B19" s="11"/>
      <x:c r="C19" s="11"/>
      <x:c r="D19" s="11"/>
    </x:row>
    <x:row r="20">
      <x:c r="A20" s="11"/>
      <x:c r="B20" s="11"/>
      <x:c r="C20" s="11"/>
      <x:c r="D20" s="11"/>
    </x:row>
  </x:sheetData>
  <x:mergeCells>
    <x:mergeCell ref="A1:D1"/>
    <x:mergeCell ref="A2:D2"/>
  </x:mergeCells>
  <x:pageMargins left="0.7" right="0.7" top="0.75" bottom="0.75" header="0.3" footer="0.3"/>
</x:worksheet>
</file>