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808c49caa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钻孔基本信息" sheetId="1" r:id="Rf76602312fb2405c"/>
    <x:sheet xmlns:r="http://schemas.openxmlformats.org/officeDocument/2006/relationships" name="回次表" sheetId="2" r:id="R87546d3de6c44872"/>
    <x:sheet xmlns:r="http://schemas.openxmlformats.org/officeDocument/2006/relationships" name="分层-原始记录" sheetId="3" r:id="R2c28736304ac4434"/>
    <x:sheet xmlns:r="http://schemas.openxmlformats.org/officeDocument/2006/relationships" name="分层-地质综合" sheetId="4" r:id="Rf7fe7c49d5584703"/>
    <x:sheet xmlns:r="http://schemas.openxmlformats.org/officeDocument/2006/relationships" name="采样" sheetId="5" r:id="Rb165a3cb263d4dbd"/>
    <x:sheet xmlns:r="http://schemas.openxmlformats.org/officeDocument/2006/relationships" name="自定义测试项目" sheetId="6" r:id="Rc70da102ecd94bb6"/>
    <x:sheet xmlns:r="http://schemas.openxmlformats.org/officeDocument/2006/relationships" name="样品测试结果" sheetId="7" r:id="R819534fea92e4362"/>
    <x:sheet xmlns:r="http://schemas.openxmlformats.org/officeDocument/2006/relationships" name="孔深校正及弯曲度" sheetId="8" r:id="R12e844b1b0f8420d"/>
    <x:sheet xmlns:r="http://schemas.openxmlformats.org/officeDocument/2006/relationships" name="图签" sheetId="9" r:id="Rafc1a446abc94324"/>
    <x:sheet xmlns:r="http://schemas.openxmlformats.org/officeDocument/2006/relationships" name="图面示意" sheetId="10" r:id="Rf6f6560440ee4b63"/>
    <x:sheet xmlns:r="http://schemas.openxmlformats.org/officeDocument/2006/relationships" name="填写说明" sheetId="11" r:id="Rcbda59e2f9c8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0.00"/>
    <x:numFmt numFmtId="203" formatCode="0.0"/>
  </x:numFmts>
  <x:fonts count="15">
    <x:font>
      <x:sz val="11"/>
      <x:name val="Carlito"/>
    </x:font>
    <x:font>
      <x:b/>
      <x:sz val="12"/>
      <x:color rgb="FF24332D"/>
      <x:name val="Arial"/>
    </x:font>
    <x:font>
      <x:i/>
      <x:sz val="10"/>
      <x:color rgb="FF66736B"/>
      <x:name val="Arial"/>
    </x:font>
    <x:font>
      <x:b/>
      <x:sz val="10"/>
      <x:color rgb="FF24332D"/>
      <x:name val="Arial"/>
    </x:font>
    <x:font>
      <x:i/>
      <x:sz val="10"/>
      <x:color rgb="FF24332D"/>
      <x:name val="Arial"/>
    </x:font>
    <x:font>
      <x:sz val="10"/>
      <x:color rgb="FF24332D"/>
      <x:name val="Arial"/>
    </x:font>
    <x:font>
      <x:b/>
      <x:sz val="9"/>
      <x:color rgb="FF24332D"/>
      <x:name val="Arial"/>
    </x:font>
    <x:font>
      <x:b/>
      <x:sz val="10"/>
      <x:color rgb="FF355D4A"/>
      <x:name val="Arial"/>
    </x:font>
    <x:font>
      <x:b/>
      <x:sz val="9"/>
      <x:color rgb="FFFFFFFF"/>
      <x:name val="Arial"/>
    </x:font>
    <x:font>
      <x:sz val="9"/>
      <x:color rgb="FF24332D"/>
      <x:name val="Arial"/>
    </x:font>
    <x:font>
      <x:b/>
      <x:sz val="9"/>
      <x:color rgb="FF355D4A"/>
      <x:name val="Arial"/>
    </x:font>
    <x:font>
      <x:sz val="12"/>
      <x:color rgb="FF66736B"/>
      <x:name val="Arial"/>
    </x:font>
    <x:font>
      <x:sz val="8"/>
      <x:color rgb="FF24332D"/>
      <x:name val="Arial"/>
    </x:font>
    <x:font>
      <x:b/>
      <x:sz val="8"/>
      <x:color rgb="FF24332D"/>
      <x:name val="Arial"/>
    </x:font>
    <x:font>
      <x:b/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1E5D1"/>
      </x:patternFill>
    </x:fill>
    <x:fill>
      <x:patternFill patternType="solid">
        <x:fgColor rgb="FFFFFFFF"/>
      </x:patternFill>
    </x:fill>
    <x:fill>
      <x:patternFill patternType="solid">
        <x:fgColor rgb="FFE5EEE8"/>
      </x:patternFill>
    </x:fill>
    <x:fill>
      <x:patternFill patternType="solid">
        <x:fgColor rgb="FFDCEAF6"/>
      </x:patternFill>
    </x:fill>
    <x:fill>
      <x:patternFill patternType="solid">
        <x:fgColor rgb="FF355D4A"/>
      </x:patternFill>
    </x:fill>
    <x:fill>
      <x:patternFill patternType="solid">
        <x:fgColor rgb="FF355D4A"/>
      </x:patternFill>
    </x:fill>
    <x:fill>
      <x:patternFill patternType="solid">
        <x:fgColor rgb="FFFFFFFF"/>
      </x:patternFill>
    </x:fill>
  </x:fills>
  <x:borders count="24">
    <x:border>
      <x:left/>
      <x:right/>
      <x:top/>
      <x:bottom/>
      <x:diagonal/>
    </x:border>
    <x:border>
      <x:left style="thin">
        <x:color rgb="FFD8D6CE"/>
      </x:left>
      <x:right style="thin">
        <x:color rgb="FFD8D6CE"/>
      </x:right>
      <x:top style="thin">
        <x:color rgb="FFD8D6CE"/>
      </x:top>
      <x:bottom style="thin">
        <x:color rgb="FFD8D6CE"/>
      </x:bottom>
      <x:diagonal/>
    </x:border>
    <x:border>
      <x:left style="thin">
        <x:color rgb="FFD8D6CE"/>
      </x:left>
      <x:right/>
      <x:top style="thin">
        <x:color rgb="FFD8D6CE"/>
      </x:top>
      <x:bottom style="thin">
        <x:color rgb="FFD8D6CE"/>
      </x:bottom>
      <x:diagonal/>
    </x:border>
    <x:border>
      <x:left/>
      <x:right/>
      <x:top style="thin">
        <x:color rgb="FFD8D6CE"/>
      </x:top>
      <x:bottom style="thin">
        <x:color rgb="FFD8D6CE"/>
      </x:bottom>
      <x:diagonal/>
    </x:border>
    <x:border>
      <x:left/>
      <x:right style="thin">
        <x:color rgb="FFD8D6CE"/>
      </x:right>
      <x:top style="thin">
        <x:color rgb="FFD8D6CE"/>
      </x:top>
      <x:bottom style="thin">
        <x:color rgb="FFD8D6CE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E6E2DA"/>
      </x:bottom>
      <x:diagonal/>
    </x:border>
    <x:border>
      <x:left/>
      <x:right/>
      <x:top style="thin">
        <x:color rgb="FFE6E2DA"/>
      </x:top>
      <x:bottom style="thin">
        <x:color rgb="FFE6E2DA"/>
      </x:bottom>
      <x:diagonal/>
    </x:border>
    <x:border>
      <x:left/>
      <x:right/>
      <x:top style="thin">
        <x:color rgb="FFE6E2DA"/>
      </x:top>
      <x:bottom style="thin">
        <x:color rgb="FFD8D6CE"/>
      </x:bottom>
      <x:diagonal/>
    </x:border>
    <x:border>
      <x:left style="thin">
        <x:color rgb="FFD8D6CE"/>
      </x:left>
      <x:right style="thin">
        <x:color rgb="FFD8D6CE"/>
      </x:right>
      <x:top style="thin">
        <x:color rgb="FFD8D6CE"/>
      </x:top>
      <x:bottom/>
      <x:diagonal/>
    </x:border>
    <x:border>
      <x:left style="thin">
        <x:color rgb="FFD8D6CE"/>
      </x:left>
      <x:right style="thin">
        <x:color rgb="FFD8D6CE"/>
      </x:right>
      <x:top/>
      <x:bottom/>
      <x:diagonal/>
    </x:border>
    <x:border>
      <x:left style="thin">
        <x:color rgb="FFD8D6CE"/>
      </x:left>
      <x:right style="thin">
        <x:color rgb="FFD8D6CE"/>
      </x:right>
      <x:top/>
      <x:bottom style="thin">
        <x:color rgb="FFD8D6CE"/>
      </x:bottom>
      <x:diagonal/>
    </x:border>
    <x:border>
      <x:left style="thin">
        <x:color rgb="FFD8D6CE"/>
      </x:left>
      <x:right/>
      <x:top style="thin">
        <x:color rgb="FFD8D6CE"/>
      </x:top>
      <x:bottom/>
      <x:diagonal/>
    </x:border>
    <x:border>
      <x:left/>
      <x:right/>
      <x:top style="thin">
        <x:color rgb="FFD8D6CE"/>
      </x:top>
      <x:bottom/>
      <x:diagonal/>
    </x:border>
    <x:border>
      <x:left/>
      <x:right style="thin">
        <x:color rgb="FFD8D6CE"/>
      </x:right>
      <x:top style="thin">
        <x:color rgb="FFD8D6CE"/>
      </x:top>
      <x:bottom/>
      <x:diagonal/>
    </x:border>
    <x:border>
      <x:left style="thin">
        <x:color rgb="FFD8D6CE"/>
      </x:left>
      <x:right/>
      <x:top/>
      <x:bottom/>
      <x:diagonal/>
    </x:border>
    <x:border>
      <x:left/>
      <x:right style="thin">
        <x:color rgb="FFD8D6CE"/>
      </x:right>
      <x:top/>
      <x:bottom/>
      <x:diagonal/>
    </x:border>
    <x:border>
      <x:left style="thin">
        <x:color rgb="FFD8D6CE"/>
      </x:left>
      <x:right/>
      <x:top/>
      <x:bottom style="thin">
        <x:color rgb="FFD8D6CE"/>
      </x:bottom>
      <x:diagonal/>
    </x:border>
    <x:border>
      <x:left/>
      <x:right/>
      <x:top/>
      <x:bottom style="thin">
        <x:color rgb="FFD8D6CE"/>
      </x:bottom>
      <x:diagonal/>
    </x:border>
    <x:border>
      <x:left/>
      <x:right style="thin">
        <x:color rgb="FFD8D6CE"/>
      </x:right>
      <x:top/>
      <x:bottom style="thin">
        <x:color rgb="FFD8D6CE"/>
      </x:bottom>
      <x:diagonal/>
    </x:border>
    <x:border>
      <x:left/>
      <x:right/>
      <x:top style="thin">
        <x:color rgb="FFE6E2DA"/>
      </x:top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/>
      <x:diagonal/>
    </x:border>
  </x:borders>
  <x:cellStyleXfs count="1">
    <x:xf numFmtId="0" fontId="0" fillId="0" borderId="0"/>
  </x:cellStyleXfs>
  <x:cellXfs count="1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200" fontId="5" fillId="3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 wrapText="1"/>
    </x:xf>
    <x:xf numFmtId="0" fontId="10" fillId="2" borderId="2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vertical="center" wrapText="1"/>
    </x:xf>
    <x:xf numFmtId="0" fontId="10" fillId="2" borderId="3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7" xfId="0" applyNumberFormat="1" applyFont="1" applyFill="1" applyBorder="1" applyAlignment="1">
      <x:alignment vertical="center" wrapText="1"/>
    </x:xf>
    <x:xf numFmtId="0" fontId="9" fillId="3" borderId="8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horizontal="center" vertical="center" wrapText="1"/>
    </x:xf>
    <x:xf numFmtId="0" fontId="9" fillId="5" borderId="8" xfId="0" applyNumberFormat="1" applyFont="1" applyFill="1" applyBorder="1" applyAlignment="1">
      <x:alignment horizontal="center" vertical="center" wrapText="1"/>
    </x:xf>
    <x:xf numFmtId="201" fontId="9" fillId="3" borderId="6" xfId="0" applyNumberFormat="1" applyFont="1" applyFill="1" applyBorder="1" applyAlignment="1">
      <x:alignment vertical="center" wrapText="1"/>
    </x:xf>
    <x:xf numFmtId="201" fontId="9" fillId="3" borderId="7" xfId="0" applyNumberFormat="1" applyFont="1" applyFill="1" applyBorder="1" applyAlignment="1">
      <x:alignment vertical="center" wrapText="1"/>
    </x:xf>
    <x:xf numFmtId="201" fontId="9" fillId="3" borderId="8" xfId="0" applyNumberFormat="1" applyFont="1" applyFill="1" applyBorder="1" applyAlignment="1">
      <x:alignment vertical="center" wrapText="1"/>
    </x:xf>
    <x:xf numFmtId="202" fontId="9" fillId="3" borderId="6" xfId="0" applyNumberFormat="1" applyFont="1" applyFill="1" applyBorder="1" applyAlignment="1">
      <x:alignment vertical="center" wrapText="1"/>
    </x:xf>
    <x:xf numFmtId="202" fontId="9" fillId="3" borderId="7" xfId="0" applyNumberFormat="1" applyFont="1" applyFill="1" applyBorder="1" applyAlignment="1">
      <x:alignment vertical="center" wrapText="1"/>
    </x:xf>
    <x:xf numFmtId="202" fontId="9" fillId="3" borderId="8" xfId="0" applyNumberFormat="1" applyFont="1" applyFill="1" applyBorder="1" applyAlignment="1">
      <x:alignment vertical="center" wrapText="1"/>
    </x:xf>
    <x:xf numFmtId="202" fontId="9" fillId="5" borderId="6" xfId="0" applyNumberFormat="1" applyFont="1" applyFill="1" applyBorder="1" applyAlignment="1">
      <x:alignment horizontal="center" vertical="center" wrapText="1"/>
    </x:xf>
    <x:xf numFmtId="202" fontId="9" fillId="5" borderId="7" xfId="0" applyNumberFormat="1" applyFont="1" applyFill="1" applyBorder="1" applyAlignment="1">
      <x:alignment horizontal="center" vertical="center" wrapText="1"/>
    </x:xf>
    <x:xf numFmtId="202" fontId="9" fillId="5" borderId="8" xfId="0" applyNumberFormat="1" applyFont="1" applyFill="1" applyBorder="1" applyAlignment="1">
      <x:alignment horizontal="center" vertical="center" wrapText="1"/>
    </x:xf>
    <x:xf numFmtId="200" fontId="9" fillId="3" borderId="6" xfId="0" applyNumberFormat="1" applyFont="1" applyFill="1" applyBorder="1" applyAlignment="1">
      <x:alignment vertical="center" wrapText="1"/>
    </x:xf>
    <x:xf numFmtId="200" fontId="9" fillId="3" borderId="7" xfId="0" applyNumberFormat="1" applyFont="1" applyFill="1" applyBorder="1" applyAlignment="1">
      <x:alignment vertical="center" wrapText="1"/>
    </x:xf>
    <x:xf numFmtId="200" fontId="9" fillId="3" borderId="8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5" xfId="0" applyNumberFormat="1" applyFont="1" applyFill="1" applyBorder="1"/>
    <x:xf numFmtId="0" fontId="8" fillId="6" borderId="5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203" fontId="9" fillId="0" borderId="6" xfId="0" applyNumberFormat="1" applyFont="1" applyFill="1" applyBorder="1" applyAlignment="1">
      <x:alignment vertical="center" wrapText="1"/>
    </x:xf>
    <x:xf numFmtId="203" fontId="9" fillId="0" borderId="7" xfId="0" applyNumberFormat="1" applyFont="1" applyFill="1" applyBorder="1" applyAlignment="1">
      <x:alignment vertical="center" wrapText="1"/>
    </x:xf>
    <x:xf numFmtId="203" fontId="9" fillId="5" borderId="8" xfId="0" applyNumberFormat="1" applyFont="1" applyFill="1" applyBorder="1" applyAlignment="1">
      <x:alignment horizontal="center" vertical="center" wrapText="1"/>
    </x:xf>
    <x:xf numFmtId="203" fontId="9" fillId="3" borderId="6" xfId="0" applyNumberFormat="1" applyFont="1" applyFill="1" applyBorder="1" applyAlignment="1">
      <x:alignment vertical="center" wrapText="1"/>
    </x:xf>
    <x:xf numFmtId="203" fontId="9" fillId="3" borderId="7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12" xfId="0" applyNumberFormat="1" applyFont="1" applyFill="1" applyBorder="1" applyAlignment="1">
      <x:alignment vertical="center" wrapText="1"/>
    </x:xf>
    <x:xf numFmtId="0" fontId="11" fillId="3" borderId="13" xfId="0" applyNumberFormat="1" applyFont="1" applyFill="1" applyBorder="1" applyAlignment="1">
      <x:alignment vertical="center" wrapText="1"/>
    </x:xf>
    <x:xf numFmtId="0" fontId="11" fillId="3" borderId="14" xfId="0" applyNumberFormat="1" applyFont="1" applyFill="1" applyBorder="1" applyAlignment="1">
      <x:alignment vertical="center" wrapText="1"/>
    </x:xf>
    <x:xf numFmtId="0" fontId="11" fillId="3" borderId="15" xfId="0" applyNumberFormat="1" applyFont="1" applyFill="1" applyBorder="1" applyAlignment="1">
      <x:alignment vertical="center" wrapText="1"/>
    </x:xf>
    <x:xf numFmtId="0" fontId="11" fillId="3" borderId="16" xfId="0" applyNumberFormat="1" applyFont="1" applyFill="1" applyBorder="1" applyAlignment="1">
      <x:alignment vertical="center" wrapText="1"/>
    </x:xf>
    <x:xf numFmtId="0" fontId="11" fillId="3" borderId="17" xfId="0" applyNumberFormat="1" applyFont="1" applyFill="1" applyBorder="1" applyAlignment="1">
      <x:alignment vertical="center" wrapText="1"/>
    </x:xf>
    <x:xf numFmtId="0" fontId="11" fillId="3" borderId="18" xfId="0" applyNumberFormat="1" applyFont="1" applyFill="1" applyBorder="1" applyAlignment="1">
      <x:alignment vertical="center" wrapText="1"/>
    </x:xf>
    <x:xf numFmtId="0" fontId="11" fillId="3" borderId="19" xfId="0" applyNumberFormat="1" applyFont="1" applyFill="1" applyBorder="1" applyAlignment="1">
      <x:alignment vertical="center" wrapText="1"/>
    </x:xf>
    <x:xf numFmtId="0" fontId="11" fillId="3" borderId="12" xfId="0" applyNumberFormat="1" applyFont="1" applyFill="1" applyBorder="1" applyAlignment="1">
      <x:alignment horizontal="center" vertical="center" wrapText="1"/>
    </x:xf>
    <x:xf numFmtId="0" fontId="11" fillId="3" borderId="13" xfId="0" applyNumberFormat="1" applyFont="1" applyFill="1" applyBorder="1" applyAlignment="1">
      <x:alignment horizontal="center" vertical="center" wrapText="1"/>
    </x:xf>
    <x:xf numFmtId="0" fontId="11" fillId="3" borderId="14" xfId="0" applyNumberFormat="1" applyFont="1" applyFill="1" applyBorder="1" applyAlignment="1">
      <x:alignment horizontal="center" vertical="center" wrapText="1"/>
    </x:xf>
    <x:xf numFmtId="0" fontId="11" fillId="3" borderId="15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1" fillId="3" borderId="16" xfId="0" applyNumberFormat="1" applyFont="1" applyFill="1" applyBorder="1" applyAlignment="1">
      <x:alignment horizontal="center" vertical="center" wrapText="1"/>
    </x:xf>
    <x:xf numFmtId="0" fontId="11" fillId="3" borderId="17" xfId="0" applyNumberFormat="1" applyFont="1" applyFill="1" applyBorder="1" applyAlignment="1">
      <x:alignment horizontal="center" vertical="center" wrapText="1"/>
    </x:xf>
    <x:xf numFmtId="0" fontId="11" fillId="3" borderId="18" xfId="0" applyNumberFormat="1" applyFont="1" applyFill="1" applyBorder="1" applyAlignment="1">
      <x:alignment horizontal="center" vertical="center" wrapText="1"/>
    </x:xf>
    <x:xf numFmtId="0" fontId="11" fillId="3" borderId="19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6" xfId="0" applyNumberFormat="1" applyFont="1" applyFill="1" applyBorder="1" applyAlignment="1">
      <x:alignment vertical="center" wrapText="1"/>
    </x:xf>
    <x:xf numFmtId="0" fontId="12" fillId="5" borderId="7" xfId="0" applyNumberFormat="1" applyFont="1" applyFill="1" applyBorder="1" applyAlignment="1">
      <x:alignment vertical="center" wrapText="1"/>
    </x:xf>
    <x:xf numFmtId="0" fontId="12" fillId="5" borderId="2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 wrapText="1"/>
    </x:xf>
    <x:xf numFmtId="0" fontId="13" fillId="2" borderId="1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21" xfId="0" applyNumberFormat="1" applyFont="1" applyFill="1" applyBorder="1" applyAlignment="1">
      <x:alignment vertical="center" wrapText="1"/>
    </x:xf>
    <x:xf numFmtId="0" fontId="14" fillId="6" borderId="22" xfId="0" applyNumberFormat="1" applyFont="1" applyFill="1" applyBorder="1" applyAlignment="1">
      <x:alignment vertical="center" wrapText="1"/>
    </x:xf>
    <x:xf numFmtId="0" fontId="14" fillId="6" borderId="23" xfId="0" applyNumberFormat="1" applyFont="1" applyFill="1" applyBorder="1" applyAlignment="1">
      <x:alignment vertical="center" wrapText="1"/>
    </x:xf>
    <x:xf numFmtId="0" fontId="14" fillId="6" borderId="21" xfId="0" applyNumberFormat="1" applyFont="1" applyFill="1" applyBorder="1" applyAlignment="1">
      <x:alignment horizontal="center" vertical="center" wrapText="1"/>
    </x:xf>
    <x:xf numFmtId="0" fontId="14" fillId="6" borderId="22" xfId="0" applyNumberFormat="1" applyFont="1" applyFill="1" applyBorder="1" applyAlignment="1">
      <x:alignment horizontal="center" vertical="center" wrapText="1"/>
    </x:xf>
    <x:xf numFmtId="0" fontId="14" fillId="6" borderId="23" xfId="0" applyNumberFormat="1" applyFont="1" applyFill="1" applyBorder="1" applyAlignment="1">
      <x:alignment horizontal="center"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6" fillId="2" borderId="1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0" fontId="5" fillId="3" borderId="11" xfId="0" applyNumberFormat="1" applyFont="1" applyFill="1" applyBorder="1" applyAlignment="1">
      <x:alignment vertical="center" wrapText="1"/>
    </x:xf>
    <x:xf numFmtId="200" fontId="5" fillId="5" borderId="2" xfId="0" applyNumberFormat="1" applyFont="1" applyFill="1" applyBorder="1" applyAlignment="1">
      <x:alignment vertical="center" wrapText="1"/>
    </x:xf>
    <x:xf numFmtId="0" fontId="14" fillId="7" borderId="21" xfId="0" applyNumberFormat="1" applyFont="1" applyFill="1" applyBorder="1" applyAlignment="1">
      <x:alignment horizontal="center" vertical="center" wrapText="1"/>
    </x:xf>
    <x:xf numFmtId="0" fontId="14" fillId="7" borderId="22" xfId="0" applyNumberFormat="1" applyFont="1" applyFill="1" applyBorder="1" applyAlignment="1">
      <x:alignment horizontal="center" vertical="center" wrapText="1"/>
    </x:xf>
    <x:xf numFmtId="0" fontId="14" fillId="7" borderId="23" xfId="0" applyNumberFormat="1" applyFont="1" applyFill="1" applyBorder="1" applyAlignment="1">
      <x:alignment horizontal="center" vertical="center" wrapText="1"/>
    </x:xf>
    <x:xf numFmtId="0" fontId="5" fillId="8" borderId="18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68f18baf5403d" /><Relationship Type="http://schemas.openxmlformats.org/officeDocument/2006/relationships/theme" Target="/xl/theme/theme1.xml" Id="R50911c920007411b" /><Relationship Type="http://schemas.openxmlformats.org/officeDocument/2006/relationships/sharedStrings" Target="/xl/sharedStrings.xml" Id="Rb4b7923baf52452e" /><Relationship Type="http://schemas.openxmlformats.org/officeDocument/2006/relationships/worksheet" Target="/xl/worksheets/sheet1.xml" Id="Rf76602312fb2405c" /><Relationship Type="http://schemas.openxmlformats.org/officeDocument/2006/relationships/worksheet" Target="/xl/worksheets/sheet2.xml" Id="R87546d3de6c44872" /><Relationship Type="http://schemas.openxmlformats.org/officeDocument/2006/relationships/worksheet" Target="/xl/worksheets/sheet3.xml" Id="R2c28736304ac4434" /><Relationship Type="http://schemas.openxmlformats.org/officeDocument/2006/relationships/worksheet" Target="/xl/worksheets/sheet4.xml" Id="Rf7fe7c49d5584703" /><Relationship Type="http://schemas.openxmlformats.org/officeDocument/2006/relationships/worksheet" Target="/xl/worksheets/sheet5.xml" Id="Rb165a3cb263d4dbd" /><Relationship Type="http://schemas.openxmlformats.org/officeDocument/2006/relationships/worksheet" Target="/xl/worksheets/sheet6.xml" Id="Rc70da102ecd94bb6" /><Relationship Type="http://schemas.openxmlformats.org/officeDocument/2006/relationships/worksheet" Target="/xl/worksheets/sheet7.xml" Id="R819534fea92e4362" /><Relationship Type="http://schemas.openxmlformats.org/officeDocument/2006/relationships/worksheet" Target="/xl/worksheets/sheet8.xml" Id="R12e844b1b0f8420d" /><Relationship Type="http://schemas.openxmlformats.org/officeDocument/2006/relationships/worksheet" Target="/xl/worksheets/sheet9.xml" Id="Rafc1a446abc94324" /><Relationship Type="http://schemas.openxmlformats.org/officeDocument/2006/relationships/worksheet" Target="/xl/worksheets/sheet10.xml" Id="Rf6f6560440ee4b63" /><Relationship Type="http://schemas.openxmlformats.org/officeDocument/2006/relationships/worksheet" Target="/xl/worksheets/sheet11.xml" Id="Rcbda59e2f9c843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22" hidden="0" customWidth="1"/>
  </x:cols>
  <x:sheetData>
    <x:row r="1" ht="24" customHeight="1">
      <x:c r="A1" s="3" t="str">
        <x:v>钻孔基本信息与汇总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白色单元格手填；浅蓝单元格为公式汇总。孔号、深度基准和坐标系由使用者确认。</x:v>
      </x:c>
      <x:c r="B2" s="6"/>
      <x:c r="C2" s="6"/>
      <x:c r="D2" s="6"/>
      <x:c r="E2" s="6"/>
      <x:c r="F2" s="6"/>
      <x:c r="G2" s="6"/>
      <x:c r="H2" s="6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4" t="str">
        <x:v>矿区</x:v>
      </x:c>
      <x:c r="B4" s="16" t="str">
        <x:v>青岚模拟矿区</x:v>
      </x:c>
      <x:c r="C4" s="14" t="str">
        <x:v>线号</x:v>
      </x:c>
      <x:c r="D4" s="16" t="str">
        <x:v>SIM-01</x:v>
      </x:c>
      <x:c r="E4" s="14" t="str">
        <x:v>钻孔编号</x:v>
      </x:c>
      <x:c r="F4" s="16" t="str">
        <x:v>SIM-ZK300-01</x:v>
      </x:c>
      <x:c r="G4" s="14" t="str">
        <x:v>项目名称</x:v>
      </x:c>
      <x:c r="H4" s="16" t="str">
        <x:v>300米完整模拟钻孔</x:v>
      </x:c>
    </x:row>
    <x:row r="5">
      <x:c r="A5" s="14" t="str">
        <x:v>开孔日期</x:v>
      </x:c>
      <x:c r="B5" s="27" t="n">
        <x:v>46266</x:v>
      </x:c>
      <x:c r="C5" s="125" t="str">
        <x:v>终孔日期</x:v>
      </x:c>
      <x:c r="D5" s="27" t="n">
        <x:v>46296</x:v>
      </x:c>
      <x:c r="E5" s="14" t="str">
        <x:v>终孔深度_m</x:v>
      </x:c>
      <x:c r="F5" s="16" t="n">
        <x:v>300</x:v>
      </x:c>
      <x:c r="G5" s="14" t="str">
        <x:v>孔深基准</x:v>
      </x:c>
      <x:c r="H5" s="16" t="str">
        <x:v>原始沿孔深</x:v>
      </x:c>
    </x:row>
    <x:row r="6">
      <x:c r="A6" s="14" t="str">
        <x:v>设计方位角_deg</x:v>
      </x:c>
      <x:c r="B6" s="16" t="n">
        <x:v>95</x:v>
      </x:c>
      <x:c r="C6" s="14" t="str">
        <x:v>倾角_deg</x:v>
      </x:c>
      <x:c r="D6" s="16" t="n">
        <x:v>-75</x:v>
      </x:c>
      <x:c r="E6" s="14" t="str">
        <x:v>X坐标_m</x:v>
      </x:c>
      <x:c r="F6" s="16" t="n">
        <x:v>10000</x:v>
      </x:c>
      <x:c r="G6" s="14" t="str">
        <x:v>Y坐标_m</x:v>
      </x:c>
      <x:c r="H6" s="16" t="n">
        <x:v>20000</x:v>
      </x:c>
    </x:row>
    <x:row r="7">
      <x:c r="A7" s="14" t="str">
        <x:v>孔口标高_m</x:v>
      </x:c>
      <x:c r="B7" s="16" t="n">
        <x:v>1250</x:v>
      </x:c>
      <x:c r="C7" s="14" t="str">
        <x:v>坐标系</x:v>
      </x:c>
      <x:c r="D7" s="16" t="str">
        <x:v>模拟局部工程坐标系，单位m</x:v>
      </x:c>
      <x:c r="E7" s="14" t="str">
        <x:v>角度定义</x:v>
      </x:c>
      <x:c r="F7" s="16" t="str">
        <x:v>倾角自水平面向下为负；天顶角自铅垂向下计</x:v>
      </x:c>
      <x:c r="G7" s="14" t="str">
        <x:v>比例尺分母</x:v>
      </x:c>
      <x:c r="H7" s="16" t="n">
        <x:v>100</x:v>
      </x:c>
    </x:row>
    <x:row r="8">
      <x:c r="A8" s="14" t="str">
        <x:v>备注</x:v>
      </x:c>
      <x:c r="B8" s="16" t="str">
        <x:v>全部为人工模拟。100回次、30分层、120样品、6测试项目、720结果、16测点。坐标与人员均虚构，不对应真实工程。</x:v>
      </x:c>
      <x:c r="C8" s="11"/>
      <x:c r="D8" s="11"/>
      <x:c r="E8" s="11"/>
      <x:c r="F8" s="11"/>
      <x:c r="G8" s="11"/>
      <x:c r="H8" s="11"/>
    </x:row>
    <x:row r="9">
      <x:c r="A9" s="11"/>
      <x:c r="B9" s="11"/>
      <x:c r="C9" s="11"/>
      <x:c r="D9" s="11"/>
      <x:c r="E9" s="11"/>
      <x:c r="F9" s="11"/>
      <x:c r="G9" s="11"/>
      <x:c r="H9" s="11"/>
    </x:row>
    <x:row r="10">
      <x:c r="A10" s="11"/>
      <x:c r="B10" s="11"/>
      <x:c r="C10" s="11"/>
      <x:c r="D10" s="11"/>
      <x:c r="E10" s="11"/>
      <x:c r="F10" s="11"/>
      <x:c r="G10" s="11"/>
      <x:c r="H10" s="11"/>
    </x:row>
    <x:row r="11">
      <x:c r="A11" s="20" t="str">
        <x:v>数据概况（数量自动计数；终孔深度为空时保持空白）</x:v>
      </x:c>
      <x:c r="B11" s="21"/>
      <x:c r="C11" s="21"/>
      <x:c r="D11" s="21"/>
      <x:c r="E11" s="21"/>
      <x:c r="F11" s="21"/>
      <x:c r="G11" s="21"/>
      <x:c r="H11" s="22"/>
    </x:row>
    <x:row r="12" ht="30" customHeight="1">
      <x:c r="A12" s="14" t="str">
        <x:v>回次记录数</x:v>
      </x:c>
      <x:c r="B12" s="25" t="n">
        <x:f>COUNTIF('回次表'!B6:B105,"&lt;&gt;")</x:f>
        <x:v>100</x:v>
      </x:c>
      <x:c r="C12" s="14" t="str">
        <x:v>分层记录数</x:v>
      </x:c>
      <x:c r="D12" s="25" t="n">
        <x:f>COUNTIF('分层-原始记录'!B6:B35,"&lt;&gt;")</x:f>
        <x:v>30</x:v>
      </x:c>
      <x:c r="E12" s="14" t="str">
        <x:v>样品编号数</x:v>
      </x:c>
      <x:c r="F12" s="25" t="n">
        <x:f>COUNTIF('采样'!B6:B125,"&lt;&gt;")</x:f>
        <x:v>120</x:v>
      </x:c>
      <x:c r="G12" s="14" t="str">
        <x:v>测试结果行数</x:v>
      </x:c>
      <x:c r="H12" s="25" t="n">
        <x:f>COUNTIF('样品测试结果'!A6:A725,"&lt;&gt;")</x:f>
        <x:v>720</x:v>
      </x:c>
    </x:row>
    <x:row r="13" ht="30" customHeight="1">
      <x:c r="A13" s="14" t="str">
        <x:v>孔深/弯曲测点数</x:v>
      </x:c>
      <x:c r="B13" s="25" t="n">
        <x:f>COUNTIF('孔深校正及弯曲度'!B8:B23,"&lt;&gt;")</x:f>
        <x:v>16</x:v>
      </x:c>
      <x:c r="C13" s="14" t="str">
        <x:v>累计回次进尺_m</x:v>
      </x:c>
      <x:c r="D13" s="25" t="n">
        <x:f>IF(COUNT('回次表'!D6:D105)=0,"",SUM('回次表'!D6:D105))</x:f>
        <x:v>300</x:v>
      </x:c>
      <x:c r="E13" s="14" t="str">
        <x:v>累计处理岩心_m</x:v>
      </x:c>
      <x:c r="F13" s="25" t="n">
        <x:f>IF(COUNT('回次表'!H6:H105)=0,"",SUM('回次表'!H6:H105))</x:f>
        <x:v>262.47</x:v>
      </x:c>
      <x:c r="G13" s="14" t="str">
        <x:v>终孔深度_m</x:v>
      </x:c>
      <x:c r="H13" s="25" t="n">
        <x:f>IF(F5="","",F5)</x:f>
        <x:v>300</x:v>
      </x:c>
    </x:row>
    <x:row r="14" ht="30" customHeight="1">
      <x:c r="A14" s="14" t="str">
        <x:v>标志面数</x:v>
      </x:c>
      <x:c r="B14" s="26" t="n">
        <x:v>0</x:v>
      </x:c>
      <x:c r="C14" s="14" t="str">
        <x:v>分析项目数</x:v>
      </x:c>
      <x:c r="D14" s="25" t="n">
        <x:f>COUNTIF('自定义测试项目'!A6:A11,"&lt;&gt;")</x:f>
        <x:v>6</x:v>
      </x:c>
      <x:c r="E14" s="14" t="str">
        <x:v>钻孔结构数</x:v>
      </x:c>
      <x:c r="F14" s="26" t="n">
        <x:v>0</x:v>
      </x:c>
      <x:c r="G14" s="14" t="str">
        <x:v>简易水文数</x:v>
      </x:c>
      <x:c r="H14" s="26" t="n">
        <x:v>0</x:v>
      </x:c>
    </x:row>
    <x:row r="15" ht="30" customHeight="1">
      <x:c r="A15" s="14" t="str">
        <x:v>压缩米数</x:v>
      </x:c>
      <x:c r="B15" s="26" t="n">
        <x:v>0</x:v>
      </x:c>
      <x:c r="C15" s="11"/>
      <x:c r="D15" s="11"/>
      <x:c r="E15" s="11"/>
      <x:c r="F15" s="11"/>
      <x:c r="G15" s="11"/>
      <x:c r="H15" s="11"/>
    </x:row>
  </x:sheetData>
  <x:mergeCells>
    <x:mergeCell ref="A1:H1"/>
    <x:mergeCell ref="A2:H2"/>
    <x:mergeCell ref="B8:H9"/>
    <x:mergeCell ref="A11:H11"/>
  </x:mergeCells>
  <x:dataValidations count="1">
    <x:dataValidation type="list" sqref="H5">
      <x:formula1>"原始沿孔深,校正沿孔深"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7" hidden="0" customWidth="1"/>
    <x:col min="4" max="4" width="15" hidden="0" customWidth="1"/>
    <x:col min="5" max="5" width="14" hidden="0" customWidth="1"/>
    <x:col min="6" max="6" width="14" hidden="0" customWidth="1"/>
    <x:col min="7" max="7" width="12" hidden="0" customWidth="1"/>
    <x:col min="8" max="8" width="18" hidden="0" customWidth="1"/>
    <x:col min="9" max="9" width="19" hidden="0" customWidth="1"/>
    <x:col min="10" max="10" width="15" hidden="0" customWidth="1"/>
    <x:col min="11" max="11" width="17" hidden="0" customWidth="1"/>
    <x:col min="12" max="12" width="15" hidden="0" customWidth="1"/>
    <x:col min="13" max="13" width="15" hidden="0" customWidth="1"/>
    <x:col min="14" max="14" width="15" hidden="0" customWidth="1"/>
    <x:col min="15" max="15" width="24" hidden="0" customWidth="1"/>
    <x:col min="16" max="16" width="18" hidden="0" customWidth="1"/>
  </x:cols>
  <x:sheetData>
    <x:row r="1" ht="24" customHeight="1">
      <x:c r="A1" s="3" t="str">
        <x:v>回次表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回次数按回次号计数。处理后岩心长为原始手填；采取率直接按处理后岩心长÷回次进尺计算，进尺为空或为零时留空并核对。不自动计算RQD或深度校正。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38" t="str">
        <x:v>回次记录数</x:v>
      </x:c>
      <x:c r="B4" s="42" t="n">
        <x:f>COUNTIF(B6:B105,"&lt;&gt;")</x:f>
        <x:v>100</x:v>
      </x:c>
      <x:c r="C4" s="38" t="str">
        <x:v>累计回次进尺_m</x:v>
      </x:c>
      <x:c r="D4" s="42" t="n">
        <x:f>IF(COUNT(D6:D105)=0,"",SUM(D6:D105))</x:f>
        <x:v>300</x:v>
      </x:c>
      <x:c r="E4" s="38" t="str">
        <x:v>累计处理岩心_m</x:v>
      </x:c>
      <x:c r="F4" s="42" t="n">
        <x:f>IF(COUNT(H6:H105)=0,"",SUM(H6:H105))</x:f>
        <x:v>262.47</x:v>
      </x:c>
      <x:c r="G4" s="38" t="str">
        <x:v>加权采取率_pct（计算）</x:v>
      </x:c>
      <x:c r="H4" s="42" t="n">
        <x:f>IF(OR(COUNT(D6:D105)=0,COUNT(H6:H105)=0,SUM(D6:D105)=0),"",SUM(H6:H105)/SUM(D6:D105)*100)</x:f>
        <x:v>87.49000000000001</x:v>
      </x:c>
      <x:c r="I4" s="21"/>
      <x:c r="J4" s="21"/>
      <x:c r="K4" s="21"/>
      <x:c r="L4" s="21"/>
      <x:c r="M4" s="21"/>
      <x:c r="N4" s="21"/>
      <x:c r="O4" s="21"/>
      <x:c r="P4" s="22"/>
    </x:row>
    <x:row r="5" ht="34" customHeight="1">
      <x:c r="A5" s="31" t="str">
        <x:v>序号</x:v>
      </x:c>
      <x:c r="B5" s="31" t="str">
        <x:v>回次号</x:v>
      </x:c>
      <x:c r="C5" s="31" t="str">
        <x:v>下界记录孔深_m</x:v>
      </x:c>
      <x:c r="D5" s="31" t="str">
        <x:v>回次进尺_m</x:v>
      </x:c>
      <x:c r="E5" s="31" t="str">
        <x:v>采取块数/原记</x:v>
      </x:c>
      <x:c r="F5" s="31" t="str">
        <x:v>岩心长度_m</x:v>
      </x:c>
      <x:c r="G5" s="31" t="str">
        <x:v>残留_m</x:v>
      </x:c>
      <x:c r="H5" s="31" t="str">
        <x:v>处理后岩心长_m（手填）</x:v>
      </x:c>
      <x:c r="I5" s="31" t="str">
        <x:v>回次采取率_pct（计算）</x:v>
      </x:c>
      <x:c r="J5" s="31" t="str">
        <x:v>孔深校正量_m</x:v>
      </x:c>
      <x:c r="K5" s="31" t="str">
        <x:v>下界校正孔深_m</x:v>
      </x:c>
      <x:c r="L5" s="31" t="str">
        <x:v>≤10cm岩心长度_m</x:v>
      </x:c>
      <x:c r="M5" s="31" t="str">
        <x:v>≥10cm岩心长度_m</x:v>
      </x:c>
      <x:c r="N5" s="31" t="str">
        <x:v>RQD_pct（原填）</x:v>
      </x:c>
      <x:c r="O5" s="31" t="str">
        <x:v>备注</x:v>
      </x:c>
      <x:c r="P5" s="31" t="str">
        <x:v>长度核对提示</x:v>
      </x:c>
    </x:row>
    <x:row r="6" ht="23" customHeight="1">
      <x:c r="A6" s="49" t="n">
        <x:f>IF(B6="","",ROW()-5)</x:f>
        <x:v>1</x:v>
      </x:c>
      <x:c r="B6" s="52" t="str">
        <x:v>R001</x:v>
      </x:c>
      <x:c r="C6" s="55" t="n">
        <x:v>3</x:v>
      </x:c>
      <x:c r="D6" s="55" t="n">
        <x:v>3</x:v>
      </x:c>
      <x:c r="E6" s="52" t="str">
        <x:v>8</x:v>
      </x:c>
      <x:c r="F6" s="55" t="n">
        <x:v>2.62</x:v>
      </x:c>
      <x:c r="G6" s="55" t="n">
        <x:v>0</x:v>
      </x:c>
      <x:c r="H6" s="55" t="n">
        <x:v>2.62</x:v>
      </x:c>
      <x:c r="I6" s="58" t="n">
        <x:f>IF(OR(D6="",H6="",D6&lt;=0),"",H6/D6*100)</x:f>
        <x:v>87.33333333333334</x:v>
      </x:c>
      <x:c r="J6" s="55" t="n">
        <x:v>0</x:v>
      </x:c>
      <x:c r="K6" s="55" t="n">
        <x:v>3</x:v>
      </x:c>
      <x:c r="L6" s="55" t="n">
        <x:v>0.42</x:v>
      </x:c>
      <x:c r="M6" s="55" t="n">
        <x:v>2.2</x:v>
      </x:c>
      <x:c r="N6" s="55" t="n">
        <x:v>73.33</x:v>
      </x:c>
      <x:c r="O6" s="43" t="str">
        <x:v>模拟回次；深度按原始沿孔深记录</x:v>
      </x:c>
      <x:c r="P6" s="49" t="str">
        <x:f>IF(OR(D6="",H6=""),"",IF(OR(D6&lt;=0,H6&lt;0),"核对输入",IF(H6&gt;D6,"请核实长度","")))</x:f>
      </x:c>
    </x:row>
    <x:row r="7" ht="23" customHeight="1">
      <x:c r="A7" s="49" t="n">
        <x:f>IF(B7="","",ROW()-5)</x:f>
        <x:v>2</x:v>
      </x:c>
      <x:c r="B7" s="53" t="str">
        <x:v>R002</x:v>
      </x:c>
      <x:c r="C7" s="56" t="n">
        <x:v>6</x:v>
      </x:c>
      <x:c r="D7" s="56" t="n">
        <x:v>3</x:v>
      </x:c>
      <x:c r="E7" s="53" t="str">
        <x:v>9</x:v>
      </x:c>
      <x:c r="F7" s="56" t="n">
        <x:v>2.79</x:v>
      </x:c>
      <x:c r="G7" s="56" t="n">
        <x:v>0</x:v>
      </x:c>
      <x:c r="H7" s="56" t="n">
        <x:v>2.79</x:v>
      </x:c>
      <x:c r="I7" s="58" t="n">
        <x:f>IF(OR(D7="",H7="",D7&lt;=0),"",H7/D7*100)</x:f>
        <x:v>93</x:v>
      </x:c>
      <x:c r="J7" s="56" t="n">
        <x:v>0</x:v>
      </x:c>
      <x:c r="K7" s="56" t="n">
        <x:v>6</x:v>
      </x:c>
      <x:c r="L7" s="56" t="n">
        <x:v>0.44</x:v>
      </x:c>
      <x:c r="M7" s="56" t="n">
        <x:v>2.35</x:v>
      </x:c>
      <x:c r="N7" s="56" t="n">
        <x:v>78.33</x:v>
      </x:c>
      <x:c r="O7" s="44" t="str">
        <x:v>模拟回次；深度按原始沿孔深记录</x:v>
      </x:c>
      <x:c r="P7" s="49" t="str">
        <x:f>IF(OR(D7="",H7=""),"",IF(OR(D7&lt;=0,H7&lt;0),"核对输入",IF(H7&gt;D7,"请核实长度","")))</x:f>
      </x:c>
    </x:row>
    <x:row r="8" ht="23" customHeight="1">
      <x:c r="A8" s="49" t="n">
        <x:f>IF(B8="","",ROW()-5)</x:f>
        <x:v>3</x:v>
      </x:c>
      <x:c r="B8" s="53" t="str">
        <x:v>R003</x:v>
      </x:c>
      <x:c r="C8" s="56" t="n">
        <x:v>9</x:v>
      </x:c>
      <x:c r="D8" s="56" t="n">
        <x:v>3</x:v>
      </x:c>
      <x:c r="E8" s="53" t="str">
        <x:v>10</x:v>
      </x:c>
      <x:c r="F8" s="56" t="n">
        <x:v>2.9</x:v>
      </x:c>
      <x:c r="G8" s="56" t="n">
        <x:v>0</x:v>
      </x:c>
      <x:c r="H8" s="56" t="n">
        <x:v>2.9</x:v>
      </x:c>
      <x:c r="I8" s="58" t="n">
        <x:f>IF(OR(D8="",H8="",D8&lt;=0),"",H8/D8*100)</x:f>
        <x:v>96.66666666666667</x:v>
      </x:c>
      <x:c r="J8" s="56" t="n">
        <x:v>0</x:v>
      </x:c>
      <x:c r="K8" s="56" t="n">
        <x:v>9</x:v>
      </x:c>
      <x:c r="L8" s="56" t="n">
        <x:v>0.45</x:v>
      </x:c>
      <x:c r="M8" s="56" t="n">
        <x:v>2.45</x:v>
      </x:c>
      <x:c r="N8" s="56" t="n">
        <x:v>81.67</x:v>
      </x:c>
      <x:c r="O8" s="44" t="str">
        <x:v>模拟回次；深度按原始沿孔深记录</x:v>
      </x:c>
      <x:c r="P8" s="49" t="str">
        <x:f>IF(OR(D8="",H8=""),"",IF(OR(D8&lt;=0,H8&lt;0),"核对输入",IF(H8&gt;D8,"请核实长度","")))</x:f>
      </x:c>
    </x:row>
    <x:row r="9" ht="23" customHeight="1">
      <x:c r="A9" s="49" t="n">
        <x:f>IF(B9="","",ROW()-5)</x:f>
        <x:v>4</x:v>
      </x:c>
      <x:c r="B9" s="53" t="str">
        <x:v>R004</x:v>
      </x:c>
      <x:c r="C9" s="56" t="n">
        <x:v>12</x:v>
      </x:c>
      <x:c r="D9" s="56" t="n">
        <x:v>3</x:v>
      </x:c>
      <x:c r="E9" s="53" t="str">
        <x:v>11</x:v>
      </x:c>
      <x:c r="F9" s="56" t="n">
        <x:v>2.9</x:v>
      </x:c>
      <x:c r="G9" s="56" t="n">
        <x:v>0</x:v>
      </x:c>
      <x:c r="H9" s="56" t="n">
        <x:v>2.9</x:v>
      </x:c>
      <x:c r="I9" s="58" t="n">
        <x:f>IF(OR(D9="",H9="",D9&lt;=0),"",H9/D9*100)</x:f>
        <x:v>96.66666666666667</x:v>
      </x:c>
      <x:c r="J9" s="56" t="n">
        <x:v>0</x:v>
      </x:c>
      <x:c r="K9" s="56" t="n">
        <x:v>12</x:v>
      </x:c>
      <x:c r="L9" s="56" t="n">
        <x:v>0.43</x:v>
      </x:c>
      <x:c r="M9" s="56" t="n">
        <x:v>2.47</x:v>
      </x:c>
      <x:c r="N9" s="56" t="n">
        <x:v>82.33</x:v>
      </x:c>
      <x:c r="O9" s="44" t="str">
        <x:v>模拟回次；深度按原始沿孔深记录</x:v>
      </x:c>
      <x:c r="P9" s="49" t="str">
        <x:f>IF(OR(D9="",H9=""),"",IF(OR(D9&lt;=0,H9&lt;0),"核对输入",IF(H9&gt;D9,"请核实长度","")))</x:f>
      </x:c>
    </x:row>
    <x:row r="10" ht="23" customHeight="1">
      <x:c r="A10" s="49" t="n">
        <x:f>IF(B10="","",ROW()-5)</x:f>
        <x:v>5</x:v>
      </x:c>
      <x:c r="B10" s="53" t="str">
        <x:v>R005</x:v>
      </x:c>
      <x:c r="C10" s="56" t="n">
        <x:v>15</x:v>
      </x:c>
      <x:c r="D10" s="56" t="n">
        <x:v>3</x:v>
      </x:c>
      <x:c r="E10" s="53" t="str">
        <x:v>12</x:v>
      </x:c>
      <x:c r="F10" s="56" t="n">
        <x:v>2.79</x:v>
      </x:c>
      <x:c r="G10" s="56" t="n">
        <x:v>0</x:v>
      </x:c>
      <x:c r="H10" s="56" t="n">
        <x:v>2.79</x:v>
      </x:c>
      <x:c r="I10" s="58" t="n">
        <x:f>IF(OR(D10="",H10="",D10&lt;=0),"",H10/D10*100)</x:f>
        <x:v>93</x:v>
      </x:c>
      <x:c r="J10" s="56" t="n">
        <x:v>0</x:v>
      </x:c>
      <x:c r="K10" s="56" t="n">
        <x:v>15</x:v>
      </x:c>
      <x:c r="L10" s="56" t="n">
        <x:v>0.39</x:v>
      </x:c>
      <x:c r="M10" s="56" t="n">
        <x:v>2.4</x:v>
      </x:c>
      <x:c r="N10" s="56" t="n">
        <x:v>80</x:v>
      </x:c>
      <x:c r="O10" s="44" t="str">
        <x:v>模拟回次；深度按原始沿孔深记录</x:v>
      </x:c>
      <x:c r="P10" s="49" t="str">
        <x:f>IF(OR(D10="",H10=""),"",IF(OR(D10&lt;=0,H10&lt;0),"核对输入",IF(H10&gt;D10,"请核实长度","")))</x:f>
      </x:c>
    </x:row>
    <x:row r="11" ht="23" customHeight="1">
      <x:c r="A11" s="49" t="n">
        <x:f>IF(B11="","",ROW()-5)</x:f>
        <x:v>6</x:v>
      </x:c>
      <x:c r="B11" s="53" t="str">
        <x:v>R006</x:v>
      </x:c>
      <x:c r="C11" s="56" t="n">
        <x:v>18</x:v>
      </x:c>
      <x:c r="D11" s="56" t="n">
        <x:v>3</x:v>
      </x:c>
      <x:c r="E11" s="53" t="str">
        <x:v>13</x:v>
      </x:c>
      <x:c r="F11" s="56" t="n">
        <x:v>2.62</x:v>
      </x:c>
      <x:c r="G11" s="56" t="n">
        <x:v>0</x:v>
      </x:c>
      <x:c r="H11" s="56" t="n">
        <x:v>2.62</x:v>
      </x:c>
      <x:c r="I11" s="58" t="n">
        <x:f>IF(OR(D11="",H11="",D11&lt;=0),"",H11/D11*100)</x:f>
        <x:v>87.33333333333334</x:v>
      </x:c>
      <x:c r="J11" s="56" t="n">
        <x:v>0</x:v>
      </x:c>
      <x:c r="K11" s="56" t="n">
        <x:v>18</x:v>
      </x:c>
      <x:c r="L11" s="56" t="n">
        <x:v>0.34</x:v>
      </x:c>
      <x:c r="M11" s="56" t="n">
        <x:v>2.28</x:v>
      </x:c>
      <x:c r="N11" s="56" t="n">
        <x:v>76</x:v>
      </x:c>
      <x:c r="O11" s="44" t="str">
        <x:v>模拟回次；深度按原始沿孔深记录</x:v>
      </x:c>
      <x:c r="P11" s="49" t="str">
        <x:f>IF(OR(D11="",H11=""),"",IF(OR(D11&lt;=0,H11&lt;0),"核对输入",IF(H11&gt;D11,"请核实长度","")))</x:f>
      </x:c>
    </x:row>
    <x:row r="12" ht="23" customHeight="1">
      <x:c r="A12" s="49" t="n">
        <x:f>IF(B12="","",ROW()-5)</x:f>
        <x:v>7</x:v>
      </x:c>
      <x:c r="B12" s="53" t="str">
        <x:v>R007</x:v>
      </x:c>
      <x:c r="C12" s="56" t="n">
        <x:v>21</x:v>
      </x:c>
      <x:c r="D12" s="56" t="n">
        <x:v>3</x:v>
      </x:c>
      <x:c r="E12" s="53" t="str">
        <x:v>14</x:v>
      </x:c>
      <x:c r="F12" s="56" t="n">
        <x:v>2.46</x:v>
      </x:c>
      <x:c r="G12" s="56" t="n">
        <x:v>0</x:v>
      </x:c>
      <x:c r="H12" s="56" t="n">
        <x:v>2.46</x:v>
      </x:c>
      <x:c r="I12" s="58" t="n">
        <x:f>IF(OR(D12="",H12="",D12&lt;=0),"",H12/D12*100)</x:f>
        <x:v>82</x:v>
      </x:c>
      <x:c r="J12" s="56" t="n">
        <x:v>0</x:v>
      </x:c>
      <x:c r="K12" s="56" t="n">
        <x:v>21</x:v>
      </x:c>
      <x:c r="L12" s="56" t="n">
        <x:v>0.31</x:v>
      </x:c>
      <x:c r="M12" s="56" t="n">
        <x:v>2.15</x:v>
      </x:c>
      <x:c r="N12" s="56" t="n">
        <x:v>71.67</x:v>
      </x:c>
      <x:c r="O12" s="44" t="str">
        <x:v>模拟回次；深度按原始沿孔深记录</x:v>
      </x:c>
      <x:c r="P12" s="49" t="str">
        <x:f>IF(OR(D12="",H12=""),"",IF(OR(D12&lt;=0,H12&lt;0),"核对输入",IF(H12&gt;D12,"请核实长度","")))</x:f>
      </x:c>
    </x:row>
    <x:row r="13" ht="23" customHeight="1">
      <x:c r="A13" s="49" t="n">
        <x:f>IF(B13="","",ROW()-5)</x:f>
        <x:v>8</x:v>
      </x:c>
      <x:c r="B13" s="53" t="str">
        <x:v>R008</x:v>
      </x:c>
      <x:c r="C13" s="56" t="n">
        <x:v>24</x:v>
      </x:c>
      <x:c r="D13" s="56" t="n">
        <x:v>3</x:v>
      </x:c>
      <x:c r="E13" s="53" t="str">
        <x:v>8</x:v>
      </x:c>
      <x:c r="F13" s="56" t="n">
        <x:v>2.35</x:v>
      </x:c>
      <x:c r="G13" s="56" t="n">
        <x:v>0</x:v>
      </x:c>
      <x:c r="H13" s="56" t="n">
        <x:v>2.35</x:v>
      </x:c>
      <x:c r="I13" s="58" t="n">
        <x:f>IF(OR(D13="",H13="",D13&lt;=0),"",H13/D13*100)</x:f>
        <x:v>78.33333333333333</x:v>
      </x:c>
      <x:c r="J13" s="56" t="n">
        <x:v>0</x:v>
      </x:c>
      <x:c r="K13" s="56" t="n">
        <x:v>24</x:v>
      </x:c>
      <x:c r="L13" s="56" t="n">
        <x:v>0.28</x:v>
      </x:c>
      <x:c r="M13" s="56" t="n">
        <x:v>2.07</x:v>
      </x:c>
      <x:c r="N13" s="56" t="n">
        <x:v>69</x:v>
      </x:c>
      <x:c r="O13" s="44" t="str">
        <x:v>模拟回次；深度按原始沿孔深记录</x:v>
      </x:c>
      <x:c r="P13" s="49" t="str">
        <x:f>IF(OR(D13="",H13=""),"",IF(OR(D13&lt;=0,H13&lt;0),"核对输入",IF(H13&gt;D13,"请核实长度","")))</x:f>
      </x:c>
    </x:row>
    <x:row r="14" ht="23" customHeight="1">
      <x:c r="A14" s="49" t="n">
        <x:f>IF(B14="","",ROW()-5)</x:f>
        <x:v>9</x:v>
      </x:c>
      <x:c r="B14" s="53" t="str">
        <x:v>R009</x:v>
      </x:c>
      <x:c r="C14" s="56" t="n">
        <x:v>27</x:v>
      </x:c>
      <x:c r="D14" s="56" t="n">
        <x:v>3</x:v>
      </x:c>
      <x:c r="E14" s="53" t="str">
        <x:v>9</x:v>
      </x:c>
      <x:c r="F14" s="56" t="n">
        <x:v>2.36</x:v>
      </x:c>
      <x:c r="G14" s="56" t="n">
        <x:v>0</x:v>
      </x:c>
      <x:c r="H14" s="56" t="n">
        <x:v>2.36</x:v>
      </x:c>
      <x:c r="I14" s="58" t="n">
        <x:f>IF(OR(D14="",H14="",D14&lt;=0),"",H14/D14*100)</x:f>
        <x:v>78.66666666666666</x:v>
      </x:c>
      <x:c r="J14" s="56" t="n">
        <x:v>0</x:v>
      </x:c>
      <x:c r="K14" s="56" t="n">
        <x:v>27</x:v>
      </x:c>
      <x:c r="L14" s="56" t="n">
        <x:v>0.28</x:v>
      </x:c>
      <x:c r="M14" s="56" t="n">
        <x:v>2.08</x:v>
      </x:c>
      <x:c r="N14" s="56" t="n">
        <x:v>69.33</x:v>
      </x:c>
      <x:c r="O14" s="44" t="str">
        <x:v>模拟回次；深度按原始沿孔深记录</x:v>
      </x:c>
      <x:c r="P14" s="49" t="str">
        <x:f>IF(OR(D14="",H14=""),"",IF(OR(D14&lt;=0,H14&lt;0),"核对输入",IF(H14&gt;D14,"请核实长度","")))</x:f>
      </x:c>
    </x:row>
    <x:row r="15" ht="23" customHeight="1">
      <x:c r="A15" s="49" t="n">
        <x:f>IF(B15="","",ROW()-5)</x:f>
        <x:v>10</x:v>
      </x:c>
      <x:c r="B15" s="53" t="str">
        <x:v>R010</x:v>
      </x:c>
      <x:c r="C15" s="56" t="n">
        <x:v>30</x:v>
      </x:c>
      <x:c r="D15" s="56" t="n">
        <x:v>3</x:v>
      </x:c>
      <x:c r="E15" s="53" t="str">
        <x:v>10</x:v>
      </x:c>
      <x:c r="F15" s="56" t="n">
        <x:v>2.46</x:v>
      </x:c>
      <x:c r="G15" s="56" t="n">
        <x:v>0</x:v>
      </x:c>
      <x:c r="H15" s="56" t="n">
        <x:v>2.46</x:v>
      </x:c>
      <x:c r="I15" s="58" t="n">
        <x:f>IF(OR(D15="",H15="",D15&lt;=0),"",H15/D15*100)</x:f>
        <x:v>82</x:v>
      </x:c>
      <x:c r="J15" s="56" t="n">
        <x:v>0</x:v>
      </x:c>
      <x:c r="K15" s="56" t="n">
        <x:v>30</x:v>
      </x:c>
      <x:c r="L15" s="56" t="n">
        <x:v>0.3</x:v>
      </x:c>
      <x:c r="M15" s="56" t="n">
        <x:v>2.16</x:v>
      </x:c>
      <x:c r="N15" s="56" t="n">
        <x:v>72</x:v>
      </x:c>
      <x:c r="O15" s="44" t="str">
        <x:v>模拟回次；深度按原始沿孔深记录</x:v>
      </x:c>
      <x:c r="P15" s="49" t="str">
        <x:f>IF(OR(D15="",H15=""),"",IF(OR(D15&lt;=0,H15&lt;0),"核对输入",IF(H15&gt;D15,"请核实长度","")))</x:f>
      </x:c>
    </x:row>
    <x:row r="16" ht="23" customHeight="1">
      <x:c r="A16" s="49" t="n">
        <x:f>IF(B16="","",ROW()-5)</x:f>
        <x:v>11</x:v>
      </x:c>
      <x:c r="B16" s="53" t="str">
        <x:v>R011</x:v>
      </x:c>
      <x:c r="C16" s="56" t="n">
        <x:v>33</x:v>
      </x:c>
      <x:c r="D16" s="56" t="n">
        <x:v>3</x:v>
      </x:c>
      <x:c r="E16" s="53" t="str">
        <x:v>11</x:v>
      </x:c>
      <x:c r="F16" s="56" t="n">
        <x:v>2.63</x:v>
      </x:c>
      <x:c r="G16" s="56" t="n">
        <x:v>0</x:v>
      </x:c>
      <x:c r="H16" s="56" t="n">
        <x:v>2.63</x:v>
      </x:c>
      <x:c r="I16" s="58" t="n">
        <x:f>IF(OR(D16="",H16="",D16&lt;=0),"",H16/D16*100)</x:f>
        <x:v>87.66666666666666</x:v>
      </x:c>
      <x:c r="J16" s="56" t="n">
        <x:v>0</x:v>
      </x:c>
      <x:c r="K16" s="56" t="n">
        <x:v>33</x:v>
      </x:c>
      <x:c r="L16" s="56" t="n">
        <x:v>0.34</x:v>
      </x:c>
      <x:c r="M16" s="56" t="n">
        <x:v>2.29</x:v>
      </x:c>
      <x:c r="N16" s="56" t="n">
        <x:v>76.33</x:v>
      </x:c>
      <x:c r="O16" s="44" t="str">
        <x:v>模拟回次；深度按原始沿孔深记录</x:v>
      </x:c>
      <x:c r="P16" s="49" t="str">
        <x:f>IF(OR(D16="",H16=""),"",IF(OR(D16&lt;=0,H16&lt;0),"核对输入",IF(H16&gt;D16,"请核实长度","")))</x:f>
      </x:c>
    </x:row>
    <x:row r="17" ht="23" customHeight="1">
      <x:c r="A17" s="49" t="n">
        <x:f>IF(B17="","",ROW()-5)</x:f>
        <x:v>12</x:v>
      </x:c>
      <x:c r="B17" s="53" t="str">
        <x:v>R012</x:v>
      </x:c>
      <x:c r="C17" s="56" t="n">
        <x:v>36</x:v>
      </x:c>
      <x:c r="D17" s="56" t="n">
        <x:v>3</x:v>
      </x:c>
      <x:c r="E17" s="53" t="str">
        <x:v>12</x:v>
      </x:c>
      <x:c r="F17" s="56" t="n">
        <x:v>2.8</x:v>
      </x:c>
      <x:c r="G17" s="56" t="n">
        <x:v>0</x:v>
      </x:c>
      <x:c r="H17" s="56" t="n">
        <x:v>2.8</x:v>
      </x:c>
      <x:c r="I17" s="58" t="n">
        <x:f>IF(OR(D17="",H17="",D17&lt;=0),"",H17/D17*100)</x:f>
        <x:v>93.33333333333333</x:v>
      </x:c>
      <x:c r="J17" s="56" t="n">
        <x:v>0</x:v>
      </x:c>
      <x:c r="K17" s="56" t="n">
        <x:v>36</x:v>
      </x:c>
      <x:c r="L17" s="56" t="n">
        <x:v>0.38</x:v>
      </x:c>
      <x:c r="M17" s="56" t="n">
        <x:v>2.42</x:v>
      </x:c>
      <x:c r="N17" s="56" t="n">
        <x:v>80.67</x:v>
      </x:c>
      <x:c r="O17" s="44" t="str">
        <x:v>模拟回次；深度按原始沿孔深记录</x:v>
      </x:c>
      <x:c r="P17" s="49" t="str">
        <x:f>IF(OR(D17="",H17=""),"",IF(OR(D17&lt;=0,H17&lt;0),"核对输入",IF(H17&gt;D17,"请核实长度","")))</x:f>
      </x:c>
    </x:row>
    <x:row r="18" ht="23" customHeight="1">
      <x:c r="A18" s="49" t="n">
        <x:f>IF(B18="","",ROW()-5)</x:f>
        <x:v>13</x:v>
      </x:c>
      <x:c r="B18" s="53" t="str">
        <x:v>R013</x:v>
      </x:c>
      <x:c r="C18" s="56" t="n">
        <x:v>39</x:v>
      </x:c>
      <x:c r="D18" s="56" t="n">
        <x:v>3</x:v>
      </x:c>
      <x:c r="E18" s="53" t="str">
        <x:v>13</x:v>
      </x:c>
      <x:c r="F18" s="56" t="n">
        <x:v>2.9</x:v>
      </x:c>
      <x:c r="G18" s="56" t="n">
        <x:v>0</x:v>
      </x:c>
      <x:c r="H18" s="56" t="n">
        <x:v>2.9</x:v>
      </x:c>
      <x:c r="I18" s="58" t="n">
        <x:f>IF(OR(D18="",H18="",D18&lt;=0),"",H18/D18*100)</x:f>
        <x:v>96.66666666666667</x:v>
      </x:c>
      <x:c r="J18" s="56" t="n">
        <x:v>0</x:v>
      </x:c>
      <x:c r="K18" s="56" t="n">
        <x:v>39</x:v>
      </x:c>
      <x:c r="L18" s="56" t="n">
        <x:v>0.42</x:v>
      </x:c>
      <x:c r="M18" s="56" t="n">
        <x:v>2.48</x:v>
      </x:c>
      <x:c r="N18" s="56" t="n">
        <x:v>82.67</x:v>
      </x:c>
      <x:c r="O18" s="44" t="str">
        <x:v>模拟回次；深度按原始沿孔深记录</x:v>
      </x:c>
      <x:c r="P18" s="49" t="str">
        <x:f>IF(OR(D18="",H18=""),"",IF(OR(D18&lt;=0,H18&lt;0),"核对输入",IF(H18&gt;D18,"请核实长度","")))</x:f>
      </x:c>
    </x:row>
    <x:row r="19" ht="23" customHeight="1">
      <x:c r="A19" s="49" t="n">
        <x:f>IF(B19="","",ROW()-5)</x:f>
        <x:v>14</x:v>
      </x:c>
      <x:c r="B19" s="53" t="str">
        <x:v>R014</x:v>
      </x:c>
      <x:c r="C19" s="56" t="n">
        <x:v>42</x:v>
      </x:c>
      <x:c r="D19" s="56" t="n">
        <x:v>3</x:v>
      </x:c>
      <x:c r="E19" s="53" t="str">
        <x:v>14</x:v>
      </x:c>
      <x:c r="F19" s="56" t="n">
        <x:v>2.89</x:v>
      </x:c>
      <x:c r="G19" s="56" t="n">
        <x:v>0</x:v>
      </x:c>
      <x:c r="H19" s="56" t="n">
        <x:v>2.89</x:v>
      </x:c>
      <x:c r="I19" s="58" t="n">
        <x:f>IF(OR(D19="",H19="",D19&lt;=0),"",H19/D19*100)</x:f>
        <x:v>96.33333333333334</x:v>
      </x:c>
      <x:c r="J19" s="56" t="n">
        <x:v>0</x:v>
      </x:c>
      <x:c r="K19" s="56" t="n">
        <x:v>42</x:v>
      </x:c>
      <x:c r="L19" s="56" t="n">
        <x:v>0.44</x:v>
      </x:c>
      <x:c r="M19" s="56" t="n">
        <x:v>2.45</x:v>
      </x:c>
      <x:c r="N19" s="56" t="n">
        <x:v>81.67</x:v>
      </x:c>
      <x:c r="O19" s="44" t="str">
        <x:v>模拟回次；深度按原始沿孔深记录</x:v>
      </x:c>
      <x:c r="P19" s="49" t="str">
        <x:f>IF(OR(D19="",H19=""),"",IF(OR(D19&lt;=0,H19&lt;0),"核对输入",IF(H19&gt;D19,"请核实长度","")))</x:f>
      </x:c>
    </x:row>
    <x:row r="20" ht="23" customHeight="1">
      <x:c r="A20" s="49" t="n">
        <x:f>IF(B20="","",ROW()-5)</x:f>
        <x:v>15</x:v>
      </x:c>
      <x:c r="B20" s="53" t="str">
        <x:v>R015</x:v>
      </x:c>
      <x:c r="C20" s="56" t="n">
        <x:v>45</x:v>
      </x:c>
      <x:c r="D20" s="56" t="n">
        <x:v>3</x:v>
      </x:c>
      <x:c r="E20" s="53" t="str">
        <x:v>8</x:v>
      </x:c>
      <x:c r="F20" s="56" t="n">
        <x:v>2.79</x:v>
      </x:c>
      <x:c r="G20" s="56" t="n">
        <x:v>0</x:v>
      </x:c>
      <x:c r="H20" s="56" t="n">
        <x:v>2.79</x:v>
      </x:c>
      <x:c r="I20" s="58" t="n">
        <x:f>IF(OR(D20="",H20="",D20&lt;=0),"",H20/D20*100)</x:f>
        <x:v>93</x:v>
      </x:c>
      <x:c r="J20" s="56" t="n">
        <x:v>0</x:v>
      </x:c>
      <x:c r="K20" s="56" t="n">
        <x:v>45</x:v>
      </x:c>
      <x:c r="L20" s="56" t="n">
        <x:v>0.44</x:v>
      </x:c>
      <x:c r="M20" s="56" t="n">
        <x:v>2.35</x:v>
      </x:c>
      <x:c r="N20" s="56" t="n">
        <x:v>78.33</x:v>
      </x:c>
      <x:c r="O20" s="44" t="str">
        <x:v>模拟回次；深度按原始沿孔深记录</x:v>
      </x:c>
      <x:c r="P20" s="49" t="str">
        <x:f>IF(OR(D20="",H20=""),"",IF(OR(D20&lt;=0,H20&lt;0),"核对输入",IF(H20&gt;D20,"请核实长度","")))</x:f>
      </x:c>
    </x:row>
    <x:row r="21" ht="23" customHeight="1">
      <x:c r="A21" s="49" t="n">
        <x:f>IF(B21="","",ROW()-5)</x:f>
        <x:v>16</x:v>
      </x:c>
      <x:c r="B21" s="53" t="str">
        <x:v>R016</x:v>
      </x:c>
      <x:c r="C21" s="56" t="n">
        <x:v>48</x:v>
      </x:c>
      <x:c r="D21" s="56" t="n">
        <x:v>3</x:v>
      </x:c>
      <x:c r="E21" s="53" t="str">
        <x:v>9</x:v>
      </x:c>
      <x:c r="F21" s="56" t="n">
        <x:v>2.62</x:v>
      </x:c>
      <x:c r="G21" s="56" t="n">
        <x:v>0</x:v>
      </x:c>
      <x:c r="H21" s="56" t="n">
        <x:v>2.62</x:v>
      </x:c>
      <x:c r="I21" s="58" t="n">
        <x:f>IF(OR(D21="",H21="",D21&lt;=0),"",H21/D21*100)</x:f>
        <x:v>87.33333333333334</x:v>
      </x:c>
      <x:c r="J21" s="56" t="n">
        <x:v>0</x:v>
      </x:c>
      <x:c r="K21" s="56" t="n">
        <x:v>48</x:v>
      </x:c>
      <x:c r="L21" s="56" t="n">
        <x:v>0.42</x:v>
      </x:c>
      <x:c r="M21" s="56" t="n">
        <x:v>2.2</x:v>
      </x:c>
      <x:c r="N21" s="56" t="n">
        <x:v>73.33</x:v>
      </x:c>
      <x:c r="O21" s="44" t="str">
        <x:v>模拟回次；深度按原始沿孔深记录</x:v>
      </x:c>
      <x:c r="P21" s="49" t="str">
        <x:f>IF(OR(D21="",H21=""),"",IF(OR(D21&lt;=0,H21&lt;0),"核对输入",IF(H21&gt;D21,"请核实长度","")))</x:f>
      </x:c>
    </x:row>
    <x:row r="22" ht="23" customHeight="1">
      <x:c r="A22" s="49" t="n">
        <x:f>IF(B22="","",ROW()-5)</x:f>
        <x:v>17</x:v>
      </x:c>
      <x:c r="B22" s="53" t="str">
        <x:v>R017</x:v>
      </x:c>
      <x:c r="C22" s="56" t="n">
        <x:v>51</x:v>
      </x:c>
      <x:c r="D22" s="56" t="n">
        <x:v>3</x:v>
      </x:c>
      <x:c r="E22" s="53" t="str">
        <x:v>10</x:v>
      </x:c>
      <x:c r="F22" s="56" t="n">
        <x:v>2.45</x:v>
      </x:c>
      <x:c r="G22" s="56" t="n">
        <x:v>0</x:v>
      </x:c>
      <x:c r="H22" s="56" t="n">
        <x:v>2.45</x:v>
      </x:c>
      <x:c r="I22" s="58" t="n">
        <x:f>IF(OR(D22="",H22="",D22&lt;=0),"",H22/D22*100)</x:f>
        <x:v>81.66666666666667</x:v>
      </x:c>
      <x:c r="J22" s="56" t="n">
        <x:v>0</x:v>
      </x:c>
      <x:c r="K22" s="56" t="n">
        <x:v>51</x:v>
      </x:c>
      <x:c r="L22" s="56" t="n">
        <x:v>0.39</x:v>
      </x:c>
      <x:c r="M22" s="56" t="n">
        <x:v>2.06</x:v>
      </x:c>
      <x:c r="N22" s="56" t="n">
        <x:v>68.67</x:v>
      </x:c>
      <x:c r="O22" s="44" t="str">
        <x:v>模拟回次；深度按原始沿孔深记录</x:v>
      </x:c>
      <x:c r="P22" s="49" t="str">
        <x:f>IF(OR(D22="",H22=""),"",IF(OR(D22&lt;=0,H22&lt;0),"核对输入",IF(H22&gt;D22,"请核实长度","")))</x:f>
      </x:c>
    </x:row>
    <x:row r="23" ht="23" customHeight="1">
      <x:c r="A23" s="49" t="n">
        <x:f>IF(B23="","",ROW()-5)</x:f>
        <x:v>18</x:v>
      </x:c>
      <x:c r="B23" s="53" t="str">
        <x:v>R018</x:v>
      </x:c>
      <x:c r="C23" s="56" t="n">
        <x:v>54</x:v>
      </x:c>
      <x:c r="D23" s="56" t="n">
        <x:v>3</x:v>
      </x:c>
      <x:c r="E23" s="53" t="str">
        <x:v>11</x:v>
      </x:c>
      <x:c r="F23" s="56" t="n">
        <x:v>2.35</x:v>
      </x:c>
      <x:c r="G23" s="56" t="n">
        <x:v>0</x:v>
      </x:c>
      <x:c r="H23" s="56" t="n">
        <x:v>2.35</x:v>
      </x:c>
      <x:c r="I23" s="58" t="n">
        <x:f>IF(OR(D23="",H23="",D23&lt;=0),"",H23/D23*100)</x:f>
        <x:v>78.33333333333333</x:v>
      </x:c>
      <x:c r="J23" s="56" t="n">
        <x:v>0</x:v>
      </x:c>
      <x:c r="K23" s="56" t="n">
        <x:v>54</x:v>
      </x:c>
      <x:c r="L23" s="56" t="n">
        <x:v>0.37</x:v>
      </x:c>
      <x:c r="M23" s="56" t="n">
        <x:v>1.98</x:v>
      </x:c>
      <x:c r="N23" s="56" t="n">
        <x:v>66</x:v>
      </x:c>
      <x:c r="O23" s="44" t="str">
        <x:v>模拟回次；深度按原始沿孔深记录</x:v>
      </x:c>
      <x:c r="P23" s="49" t="str">
        <x:f>IF(OR(D23="",H23=""),"",IF(OR(D23&lt;=0,H23&lt;0),"核对输入",IF(H23&gt;D23,"请核实长度","")))</x:f>
      </x:c>
    </x:row>
    <x:row r="24" ht="23" customHeight="1">
      <x:c r="A24" s="49" t="n">
        <x:f>IF(B24="","",ROW()-5)</x:f>
        <x:v>19</x:v>
      </x:c>
      <x:c r="B24" s="53" t="str">
        <x:v>R019</x:v>
      </x:c>
      <x:c r="C24" s="56" t="n">
        <x:v>57</x:v>
      </x:c>
      <x:c r="D24" s="56" t="n">
        <x:v>3</x:v>
      </x:c>
      <x:c r="E24" s="53" t="str">
        <x:v>12</x:v>
      </x:c>
      <x:c r="F24" s="56" t="n">
        <x:v>2.36</x:v>
      </x:c>
      <x:c r="G24" s="56" t="n">
        <x:v>0</x:v>
      </x:c>
      <x:c r="H24" s="56" t="n">
        <x:v>2.36</x:v>
      </x:c>
      <x:c r="I24" s="58" t="n">
        <x:f>IF(OR(D24="",H24="",D24&lt;=0),"",H24/D24*100)</x:f>
        <x:v>78.66666666666666</x:v>
      </x:c>
      <x:c r="J24" s="56" t="n">
        <x:v>0</x:v>
      </x:c>
      <x:c r="K24" s="56" t="n">
        <x:v>57</x:v>
      </x:c>
      <x:c r="L24" s="56" t="n">
        <x:v>0.35</x:v>
      </x:c>
      <x:c r="M24" s="56" t="n">
        <x:v>2.01</x:v>
      </x:c>
      <x:c r="N24" s="56" t="n">
        <x:v>67</x:v>
      </x:c>
      <x:c r="O24" s="44" t="str">
        <x:v>模拟回次；深度按原始沿孔深记录</x:v>
      </x:c>
      <x:c r="P24" s="49" t="str">
        <x:f>IF(OR(D24="",H24=""),"",IF(OR(D24&lt;=0,H24&lt;0),"核对输入",IF(H24&gt;D24,"请核实长度","")))</x:f>
      </x:c>
    </x:row>
    <x:row r="25" ht="23" customHeight="1">
      <x:c r="A25" s="49" t="n">
        <x:f>IF(B25="","",ROW()-5)</x:f>
        <x:v>20</x:v>
      </x:c>
      <x:c r="B25" s="54" t="str">
        <x:v>R020</x:v>
      </x:c>
      <x:c r="C25" s="57" t="n">
        <x:v>60</x:v>
      </x:c>
      <x:c r="D25" s="57" t="n">
        <x:v>3</x:v>
      </x:c>
      <x:c r="E25" s="54" t="str">
        <x:v>13</x:v>
      </x:c>
      <x:c r="F25" s="57" t="n">
        <x:v>2.46</x:v>
      </x:c>
      <x:c r="G25" s="57" t="n">
        <x:v>0</x:v>
      </x:c>
      <x:c r="H25" s="57" t="n">
        <x:v>2.46</x:v>
      </x:c>
      <x:c r="I25" s="58" t="n">
        <x:f>IF(OR(D25="",H25="",D25&lt;=0),"",H25/D25*100)</x:f>
        <x:v>82</x:v>
      </x:c>
      <x:c r="J25" s="57" t="n">
        <x:v>0</x:v>
      </x:c>
      <x:c r="K25" s="57" t="n">
        <x:v>60</x:v>
      </x:c>
      <x:c r="L25" s="57" t="n">
        <x:v>0.35</x:v>
      </x:c>
      <x:c r="M25" s="57" t="n">
        <x:v>2.11</x:v>
      </x:c>
      <x:c r="N25" s="57" t="n">
        <x:v>70.33</x:v>
      </x:c>
      <x:c r="O25" s="45" t="str">
        <x:v>模拟回次；深度按原始沿孔深记录</x:v>
      </x:c>
      <x:c r="P25" s="49" t="str">
        <x:f>IF(OR(D25="",H25=""),"",IF(OR(D25&lt;=0,H25&lt;0),"核对输入",IF(H25&gt;D25,"请核实长度","")))</x:f>
      </x:c>
    </x:row>
    <x:row r="26">
      <x:c r="A26" s="49" t="n">
        <x:f>IF(B26="","",ROW()-5)</x:f>
        <x:v>21</x:v>
      </x:c>
      <x:c r="B26" s="54" t="str">
        <x:v>R021</x:v>
      </x:c>
      <x:c r="C26" s="57" t="n">
        <x:v>63</x:v>
      </x:c>
      <x:c r="D26" s="57" t="n">
        <x:v>3</x:v>
      </x:c>
      <x:c r="E26" s="54" t="str">
        <x:v>14</x:v>
      </x:c>
      <x:c r="F26" s="57" t="n">
        <x:v>2.63</x:v>
      </x:c>
      <x:c r="G26" s="57" t="n">
        <x:v>0</x:v>
      </x:c>
      <x:c r="H26" s="57" t="n">
        <x:v>2.63</x:v>
      </x:c>
      <x:c r="I26" s="58" t="n">
        <x:f>IF(OR(D26="",H26="",D26&lt;=0),"",H26/D26*100)</x:f>
        <x:v>87.66666666666666</x:v>
      </x:c>
      <x:c r="J26" s="57" t="n">
        <x:v>0</x:v>
      </x:c>
      <x:c r="K26" s="57" t="n">
        <x:v>63</x:v>
      </x:c>
      <x:c r="L26" s="57" t="n">
        <x:v>0.35</x:v>
      </x:c>
      <x:c r="M26" s="57" t="n">
        <x:v>2.28</x:v>
      </x:c>
      <x:c r="N26" s="57" t="n">
        <x:v>76</x:v>
      </x:c>
      <x:c r="O26" s="45" t="str">
        <x:v>模拟回次；深度按原始沿孔深记录</x:v>
      </x:c>
      <x:c r="P26" s="49" t="str">
        <x:f>IF(OR(D26="",H26=""),"",IF(OR(D26&lt;=0,H26&lt;0),"核对输入",IF(H26&gt;D26,"请核实长度","")))</x:f>
      </x:c>
    </x:row>
    <x:row r="27">
      <x:c r="A27" s="49" t="n">
        <x:f>IF(B27="","",ROW()-5)</x:f>
        <x:v>22</x:v>
      </x:c>
      <x:c r="B27" s="54" t="str">
        <x:v>R022</x:v>
      </x:c>
      <x:c r="C27" s="57" t="n">
        <x:v>66</x:v>
      </x:c>
      <x:c r="D27" s="57" t="n">
        <x:v>3</x:v>
      </x:c>
      <x:c r="E27" s="54" t="str">
        <x:v>8</x:v>
      </x:c>
      <x:c r="F27" s="57" t="n">
        <x:v>2.8</x:v>
      </x:c>
      <x:c r="G27" s="57" t="n">
        <x:v>0</x:v>
      </x:c>
      <x:c r="H27" s="57" t="n">
        <x:v>2.8</x:v>
      </x:c>
      <x:c r="I27" s="58" t="n">
        <x:f>IF(OR(D27="",H27="",D27&lt;=0),"",H27/D27*100)</x:f>
        <x:v>93.33333333333333</x:v>
      </x:c>
      <x:c r="J27" s="57" t="n">
        <x:v>0</x:v>
      </x:c>
      <x:c r="K27" s="57" t="n">
        <x:v>66</x:v>
      </x:c>
      <x:c r="L27" s="57" t="n">
        <x:v>0.35</x:v>
      </x:c>
      <x:c r="M27" s="57" t="n">
        <x:v>2.45</x:v>
      </x:c>
      <x:c r="N27" s="57" t="n">
        <x:v>81.67</x:v>
      </x:c>
      <x:c r="O27" s="45" t="str">
        <x:v>模拟回次；深度按原始沿孔深记录</x:v>
      </x:c>
      <x:c r="P27" s="49" t="str">
        <x:f>IF(OR(D27="",H27=""),"",IF(OR(D27&lt;=0,H27&lt;0),"核对输入",IF(H27&gt;D27,"请核实长度","")))</x:f>
      </x:c>
    </x:row>
    <x:row r="28">
      <x:c r="A28" s="49" t="n">
        <x:f>IF(B28="","",ROW()-5)</x:f>
        <x:v>23</x:v>
      </x:c>
      <x:c r="B28" s="54" t="str">
        <x:v>R023</x:v>
      </x:c>
      <x:c r="C28" s="57" t="n">
        <x:v>69</x:v>
      </x:c>
      <x:c r="D28" s="57" t="n">
        <x:v>3</x:v>
      </x:c>
      <x:c r="E28" s="54" t="str">
        <x:v>9</x:v>
      </x:c>
      <x:c r="F28" s="57" t="n">
        <x:v>2.9</x:v>
      </x:c>
      <x:c r="G28" s="57" t="n">
        <x:v>0</x:v>
      </x:c>
      <x:c r="H28" s="57" t="n">
        <x:v>2.9</x:v>
      </x:c>
      <x:c r="I28" s="58" t="n">
        <x:f>IF(OR(D28="",H28="",D28&lt;=0),"",H28/D28*100)</x:f>
        <x:v>96.66666666666667</x:v>
      </x:c>
      <x:c r="J28" s="57" t="n">
        <x:v>0</x:v>
      </x:c>
      <x:c r="K28" s="57" t="n">
        <x:v>69</x:v>
      </x:c>
      <x:c r="L28" s="57" t="n">
        <x:v>0.35</x:v>
      </x:c>
      <x:c r="M28" s="57" t="n">
        <x:v>2.55</x:v>
      </x:c>
      <x:c r="N28" s="57" t="n">
        <x:v>85</x:v>
      </x:c>
      <x:c r="O28" s="45" t="str">
        <x:v>模拟回次；深度按原始沿孔深记录</x:v>
      </x:c>
      <x:c r="P28" s="49" t="str">
        <x:f>IF(OR(D28="",H28=""),"",IF(OR(D28&lt;=0,H28&lt;0),"核对输入",IF(H28&gt;D28,"请核实长度","")))</x:f>
      </x:c>
    </x:row>
    <x:row r="29">
      <x:c r="A29" s="49" t="n">
        <x:f>IF(B29="","",ROW()-5)</x:f>
        <x:v>24</x:v>
      </x:c>
      <x:c r="B29" s="54" t="str">
        <x:v>R024</x:v>
      </x:c>
      <x:c r="C29" s="57" t="n">
        <x:v>72</x:v>
      </x:c>
      <x:c r="D29" s="57" t="n">
        <x:v>3</x:v>
      </x:c>
      <x:c r="E29" s="54" t="str">
        <x:v>10</x:v>
      </x:c>
      <x:c r="F29" s="57" t="n">
        <x:v>2.89</x:v>
      </x:c>
      <x:c r="G29" s="57" t="n">
        <x:v>0</x:v>
      </x:c>
      <x:c r="H29" s="57" t="n">
        <x:v>2.89</x:v>
      </x:c>
      <x:c r="I29" s="58" t="n">
        <x:f>IF(OR(D29="",H29="",D29&lt;=0),"",H29/D29*100)</x:f>
        <x:v>96.33333333333334</x:v>
      </x:c>
      <x:c r="J29" s="57" t="n">
        <x:v>0</x:v>
      </x:c>
      <x:c r="K29" s="57" t="n">
        <x:v>72</x:v>
      </x:c>
      <x:c r="L29" s="57" t="n">
        <x:v>0.35</x:v>
      </x:c>
      <x:c r="M29" s="57" t="n">
        <x:v>2.54</x:v>
      </x:c>
      <x:c r="N29" s="57" t="n">
        <x:v>84.67</x:v>
      </x:c>
      <x:c r="O29" s="45" t="str">
        <x:v>模拟回次；深度按原始沿孔深记录</x:v>
      </x:c>
      <x:c r="P29" s="49" t="str">
        <x:f>IF(OR(D29="",H29=""),"",IF(OR(D29&lt;=0,H29&lt;0),"核对输入",IF(H29&gt;D29,"请核实长度","")))</x:f>
      </x:c>
    </x:row>
    <x:row r="30">
      <x:c r="A30" s="49" t="n">
        <x:f>IF(B30="","",ROW()-5)</x:f>
        <x:v>25</x:v>
      </x:c>
      <x:c r="B30" s="54" t="str">
        <x:v>R025</x:v>
      </x:c>
      <x:c r="C30" s="57" t="n">
        <x:v>75</x:v>
      </x:c>
      <x:c r="D30" s="57" t="n">
        <x:v>3</x:v>
      </x:c>
      <x:c r="E30" s="54" t="str">
        <x:v>11</x:v>
      </x:c>
      <x:c r="F30" s="57" t="n">
        <x:v>2.78</x:v>
      </x:c>
      <x:c r="G30" s="57" t="n">
        <x:v>0</x:v>
      </x:c>
      <x:c r="H30" s="57" t="n">
        <x:v>2.78</x:v>
      </x:c>
      <x:c r="I30" s="58" t="n">
        <x:f>IF(OR(D30="",H30="",D30&lt;=0),"",H30/D30*100)</x:f>
        <x:v>92.66666666666666</x:v>
      </x:c>
      <x:c r="J30" s="57" t="n">
        <x:v>0</x:v>
      </x:c>
      <x:c r="K30" s="57" t="n">
        <x:v>75</x:v>
      </x:c>
      <x:c r="L30" s="57" t="n">
        <x:v>0.34</x:v>
      </x:c>
      <x:c r="M30" s="57" t="n">
        <x:v>2.44</x:v>
      </x:c>
      <x:c r="N30" s="57" t="n">
        <x:v>81.33</x:v>
      </x:c>
      <x:c r="O30" s="45" t="str">
        <x:v>模拟回次；深度按原始沿孔深记录</x:v>
      </x:c>
      <x:c r="P30" s="49" t="str">
        <x:f>IF(OR(D30="",H30=""),"",IF(OR(D30&lt;=0,H30&lt;0),"核对输入",IF(H30&gt;D30,"请核实长度","")))</x:f>
      </x:c>
    </x:row>
    <x:row r="31">
      <x:c r="A31" s="49" t="n">
        <x:f>IF(B31="","",ROW()-5)</x:f>
        <x:v>26</x:v>
      </x:c>
      <x:c r="B31" s="54" t="str">
        <x:v>R026</x:v>
      </x:c>
      <x:c r="C31" s="57" t="n">
        <x:v>78</x:v>
      </x:c>
      <x:c r="D31" s="57" t="n">
        <x:v>3</x:v>
      </x:c>
      <x:c r="E31" s="54" t="str">
        <x:v>12</x:v>
      </x:c>
      <x:c r="F31" s="57" t="n">
        <x:v>2.61</x:v>
      </x:c>
      <x:c r="G31" s="57" t="n">
        <x:v>0</x:v>
      </x:c>
      <x:c r="H31" s="57" t="n">
        <x:v>2.61</x:v>
      </x:c>
      <x:c r="I31" s="58" t="n">
        <x:f>IF(OR(D31="",H31="",D31&lt;=0),"",H31/D31*100)</x:f>
        <x:v>87</x:v>
      </x:c>
      <x:c r="J31" s="57" t="n">
        <x:v>0</x:v>
      </x:c>
      <x:c r="K31" s="57" t="n">
        <x:v>78</x:v>
      </x:c>
      <x:c r="L31" s="57" t="n">
        <x:v>0.33</x:v>
      </x:c>
      <x:c r="M31" s="57" t="n">
        <x:v>2.28</x:v>
      </x:c>
      <x:c r="N31" s="57" t="n">
        <x:v>76</x:v>
      </x:c>
      <x:c r="O31" s="45" t="str">
        <x:v>模拟回次；深度按原始沿孔深记录</x:v>
      </x:c>
      <x:c r="P31" s="49" t="str">
        <x:f>IF(OR(D31="",H31=""),"",IF(OR(D31&lt;=0,H31&lt;0),"核对输入",IF(H31&gt;D31,"请核实长度","")))</x:f>
      </x:c>
    </x:row>
    <x:row r="32">
      <x:c r="A32" s="49" t="n">
        <x:f>IF(B32="","",ROW()-5)</x:f>
        <x:v>27</x:v>
      </x:c>
      <x:c r="B32" s="54" t="str">
        <x:v>R027</x:v>
      </x:c>
      <x:c r="C32" s="57" t="n">
        <x:v>81</x:v>
      </x:c>
      <x:c r="D32" s="57" t="n">
        <x:v>3</x:v>
      </x:c>
      <x:c r="E32" s="54" t="str">
        <x:v>13</x:v>
      </x:c>
      <x:c r="F32" s="57" t="n">
        <x:v>2.45</x:v>
      </x:c>
      <x:c r="G32" s="57" t="n">
        <x:v>0</x:v>
      </x:c>
      <x:c r="H32" s="57" t="n">
        <x:v>2.45</x:v>
      </x:c>
      <x:c r="I32" s="58" t="n">
        <x:f>IF(OR(D32="",H32="",D32&lt;=0),"",H32/D32*100)</x:f>
        <x:v>81.66666666666667</x:v>
      </x:c>
      <x:c r="J32" s="57" t="n">
        <x:v>0</x:v>
      </x:c>
      <x:c r="K32" s="57" t="n">
        <x:v>81</x:v>
      </x:c>
      <x:c r="L32" s="57" t="n">
        <x:v>0.33</x:v>
      </x:c>
      <x:c r="M32" s="57" t="n">
        <x:v>2.12</x:v>
      </x:c>
      <x:c r="N32" s="57" t="n">
        <x:v>70.67</x:v>
      </x:c>
      <x:c r="O32" s="45" t="str">
        <x:v>模拟回次；深度按原始沿孔深记录</x:v>
      </x:c>
      <x:c r="P32" s="49" t="str">
        <x:f>IF(OR(D32="",H32=""),"",IF(OR(D32&lt;=0,H32&lt;0),"核对输入",IF(H32&gt;D32,"请核实长度","")))</x:f>
      </x:c>
    </x:row>
    <x:row r="33">
      <x:c r="A33" s="49" t="n">
        <x:f>IF(B33="","",ROW()-5)</x:f>
        <x:v>28</x:v>
      </x:c>
      <x:c r="B33" s="54" t="str">
        <x:v>R028</x:v>
      </x:c>
      <x:c r="C33" s="57" t="n">
        <x:v>84</x:v>
      </x:c>
      <x:c r="D33" s="57" t="n">
        <x:v>3</x:v>
      </x:c>
      <x:c r="E33" s="54" t="str">
        <x:v>14</x:v>
      </x:c>
      <x:c r="F33" s="57" t="n">
        <x:v>2.35</x:v>
      </x:c>
      <x:c r="G33" s="57" t="n">
        <x:v>0</x:v>
      </x:c>
      <x:c r="H33" s="57" t="n">
        <x:v>2.35</x:v>
      </x:c>
      <x:c r="I33" s="58" t="n">
        <x:f>IF(OR(D33="",H33="",D33&lt;=0),"",H33/D33*100)</x:f>
        <x:v>78.33333333333333</x:v>
      </x:c>
      <x:c r="J33" s="57" t="n">
        <x:v>0</x:v>
      </x:c>
      <x:c r="K33" s="57" t="n">
        <x:v>84</x:v>
      </x:c>
      <x:c r="L33" s="57" t="n">
        <x:v>0.33</x:v>
      </x:c>
      <x:c r="M33" s="57" t="n">
        <x:v>2.02</x:v>
      </x:c>
      <x:c r="N33" s="57" t="n">
        <x:v>67.33</x:v>
      </x:c>
      <x:c r="O33" s="45" t="str">
        <x:v>模拟回次；深度按原始沿孔深记录</x:v>
      </x:c>
      <x:c r="P33" s="49" t="str">
        <x:f>IF(OR(D33="",H33=""),"",IF(OR(D33&lt;=0,H33&lt;0),"核对输入",IF(H33&gt;D33,"请核实长度","")))</x:f>
      </x:c>
    </x:row>
    <x:row r="34">
      <x:c r="A34" s="49" t="n">
        <x:f>IF(B34="","",ROW()-5)</x:f>
        <x:v>29</x:v>
      </x:c>
      <x:c r="B34" s="54" t="str">
        <x:v>R029</x:v>
      </x:c>
      <x:c r="C34" s="57" t="n">
        <x:v>87</x:v>
      </x:c>
      <x:c r="D34" s="57" t="n">
        <x:v>3</x:v>
      </x:c>
      <x:c r="E34" s="54" t="str">
        <x:v>8</x:v>
      </x:c>
      <x:c r="F34" s="57" t="n">
        <x:v>2.36</x:v>
      </x:c>
      <x:c r="G34" s="57" t="n">
        <x:v>0</x:v>
      </x:c>
      <x:c r="H34" s="57" t="n">
        <x:v>2.36</x:v>
      </x:c>
      <x:c r="I34" s="58" t="n">
        <x:f>IF(OR(D34="",H34="",D34&lt;=0),"",H34/D34*100)</x:f>
        <x:v>78.66666666666666</x:v>
      </x:c>
      <x:c r="J34" s="57" t="n">
        <x:v>0</x:v>
      </x:c>
      <x:c r="K34" s="57" t="n">
        <x:v>87</x:v>
      </x:c>
      <x:c r="L34" s="57" t="n">
        <x:v>0.35</x:v>
      </x:c>
      <x:c r="M34" s="57" t="n">
        <x:v>2.01</x:v>
      </x:c>
      <x:c r="N34" s="57" t="n">
        <x:v>67</x:v>
      </x:c>
      <x:c r="O34" s="45" t="str">
        <x:v>模拟回次；深度按原始沿孔深记录</x:v>
      </x:c>
      <x:c r="P34" s="49" t="str">
        <x:f>IF(OR(D34="",H34=""),"",IF(OR(D34&lt;=0,H34&lt;0),"核对输入",IF(H34&gt;D34,"请核实长度","")))</x:f>
      </x:c>
    </x:row>
    <x:row r="35">
      <x:c r="A35" s="49" t="n">
        <x:f>IF(B35="","",ROW()-5)</x:f>
        <x:v>30</x:v>
      </x:c>
      <x:c r="B35" s="54" t="str">
        <x:v>R030</x:v>
      </x:c>
      <x:c r="C35" s="57" t="n">
        <x:v>90</x:v>
      </x:c>
      <x:c r="D35" s="57" t="n">
        <x:v>3</x:v>
      </x:c>
      <x:c r="E35" s="54" t="str">
        <x:v>9</x:v>
      </x:c>
      <x:c r="F35" s="57" t="n">
        <x:v>2.47</x:v>
      </x:c>
      <x:c r="G35" s="57" t="n">
        <x:v>0</x:v>
      </x:c>
      <x:c r="H35" s="57" t="n">
        <x:v>2.47</x:v>
      </x:c>
      <x:c r="I35" s="58" t="n">
        <x:f>IF(OR(D35="",H35="",D35&lt;=0),"",H35/D35*100)</x:f>
        <x:v>82.33333333333334</x:v>
      </x:c>
      <x:c r="J35" s="57" t="n">
        <x:v>0</x:v>
      </x:c>
      <x:c r="K35" s="57" t="n">
        <x:v>90</x:v>
      </x:c>
      <x:c r="L35" s="57" t="n">
        <x:v>0.38</x:v>
      </x:c>
      <x:c r="M35" s="57" t="n">
        <x:v>2.09</x:v>
      </x:c>
      <x:c r="N35" s="57" t="n">
        <x:v>69.67</x:v>
      </x:c>
      <x:c r="O35" s="45" t="str">
        <x:v>模拟回次；深度按原始沿孔深记录</x:v>
      </x:c>
      <x:c r="P35" s="49" t="str">
        <x:f>IF(OR(D35="",H35=""),"",IF(OR(D35&lt;=0,H35&lt;0),"核对输入",IF(H35&gt;D35,"请核实长度","")))</x:f>
      </x:c>
    </x:row>
    <x:row r="36">
      <x:c r="A36" s="49" t="n">
        <x:f>IF(B36="","",ROW()-5)</x:f>
        <x:v>31</x:v>
      </x:c>
      <x:c r="B36" s="54" t="str">
        <x:v>R031</x:v>
      </x:c>
      <x:c r="C36" s="57" t="n">
        <x:v>93</x:v>
      </x:c>
      <x:c r="D36" s="57" t="n">
        <x:v>3</x:v>
      </x:c>
      <x:c r="E36" s="54" t="str">
        <x:v>10</x:v>
      </x:c>
      <x:c r="F36" s="57" t="n">
        <x:v>2.64</x:v>
      </x:c>
      <x:c r="G36" s="57" t="n">
        <x:v>0</x:v>
      </x:c>
      <x:c r="H36" s="57" t="n">
        <x:v>2.64</x:v>
      </x:c>
      <x:c r="I36" s="58" t="n">
        <x:f>IF(OR(D36="",H36="",D36&lt;=0),"",H36/D36*100)</x:f>
        <x:v>88</x:v>
      </x:c>
      <x:c r="J36" s="57" t="n">
        <x:v>0</x:v>
      </x:c>
      <x:c r="K36" s="57" t="n">
        <x:v>93</x:v>
      </x:c>
      <x:c r="L36" s="57" t="n">
        <x:v>0.42</x:v>
      </x:c>
      <x:c r="M36" s="57" t="n">
        <x:v>2.22</x:v>
      </x:c>
      <x:c r="N36" s="57" t="n">
        <x:v>74</x:v>
      </x:c>
      <x:c r="O36" s="45" t="str">
        <x:v>模拟回次；深度按原始沿孔深记录</x:v>
      </x:c>
      <x:c r="P36" s="49" t="str">
        <x:f>IF(OR(D36="",H36=""),"",IF(OR(D36&lt;=0,H36&lt;0),"核对输入",IF(H36&gt;D36,"请核实长度","")))</x:f>
      </x:c>
    </x:row>
    <x:row r="37">
      <x:c r="A37" s="49" t="n">
        <x:f>IF(B37="","",ROW()-5)</x:f>
        <x:v>32</x:v>
      </x:c>
      <x:c r="B37" s="54" t="str">
        <x:v>R032</x:v>
      </x:c>
      <x:c r="C37" s="57" t="n">
        <x:v>96</x:v>
      </x:c>
      <x:c r="D37" s="57" t="n">
        <x:v>3</x:v>
      </x:c>
      <x:c r="E37" s="54" t="str">
        <x:v>11</x:v>
      </x:c>
      <x:c r="F37" s="57" t="n">
        <x:v>2.8</x:v>
      </x:c>
      <x:c r="G37" s="57" t="n">
        <x:v>0</x:v>
      </x:c>
      <x:c r="H37" s="57" t="n">
        <x:v>2.8</x:v>
      </x:c>
      <x:c r="I37" s="58" t="n">
        <x:f>IF(OR(D37="",H37="",D37&lt;=0),"",H37/D37*100)</x:f>
        <x:v>93.33333333333333</x:v>
      </x:c>
      <x:c r="J37" s="57" t="n">
        <x:v>0</x:v>
      </x:c>
      <x:c r="K37" s="57" t="n">
        <x:v>96</x:v>
      </x:c>
      <x:c r="L37" s="57" t="n">
        <x:v>0.45</x:v>
      </x:c>
      <x:c r="M37" s="57" t="n">
        <x:v>2.35</x:v>
      </x:c>
      <x:c r="N37" s="57" t="n">
        <x:v>78.33</x:v>
      </x:c>
      <x:c r="O37" s="45" t="str">
        <x:v>模拟回次；深度按原始沿孔深记录</x:v>
      </x:c>
      <x:c r="P37" s="49" t="str">
        <x:f>IF(OR(D37="",H37=""),"",IF(OR(D37&lt;=0,H37&lt;0),"核对输入",IF(H37&gt;D37,"请核实长度","")))</x:f>
      </x:c>
    </x:row>
    <x:row r="38">
      <x:c r="A38" s="49" t="n">
        <x:f>IF(B38="","",ROW()-5)</x:f>
        <x:v>33</x:v>
      </x:c>
      <x:c r="B38" s="54" t="str">
        <x:v>R033</x:v>
      </x:c>
      <x:c r="C38" s="57" t="n">
        <x:v>99</x:v>
      </x:c>
      <x:c r="D38" s="57" t="n">
        <x:v>3</x:v>
      </x:c>
      <x:c r="E38" s="54" t="str">
        <x:v>12</x:v>
      </x:c>
      <x:c r="F38" s="57" t="n">
        <x:v>2.9</x:v>
      </x:c>
      <x:c r="G38" s="57" t="n">
        <x:v>0</x:v>
      </x:c>
      <x:c r="H38" s="57" t="n">
        <x:v>2.9</x:v>
      </x:c>
      <x:c r="I38" s="58" t="n">
        <x:f>IF(OR(D38="",H38="",D38&lt;=0),"",H38/D38*100)</x:f>
        <x:v>96.66666666666667</x:v>
      </x:c>
      <x:c r="J38" s="57" t="n">
        <x:v>0</x:v>
      </x:c>
      <x:c r="K38" s="57" t="n">
        <x:v>99</x:v>
      </x:c>
      <x:c r="L38" s="57" t="n">
        <x:v>0.46</x:v>
      </x:c>
      <x:c r="M38" s="57" t="n">
        <x:v>2.44</x:v>
      </x:c>
      <x:c r="N38" s="57" t="n">
        <x:v>81.33</x:v>
      </x:c>
      <x:c r="O38" s="45" t="str">
        <x:v>模拟回次；深度按原始沿孔深记录</x:v>
      </x:c>
      <x:c r="P38" s="49" t="str">
        <x:f>IF(OR(D38="",H38=""),"",IF(OR(D38&lt;=0,H38&lt;0),"核对输入",IF(H38&gt;D38,"请核实长度","")))</x:f>
      </x:c>
    </x:row>
    <x:row r="39">
      <x:c r="A39" s="49" t="n">
        <x:f>IF(B39="","",ROW()-5)</x:f>
        <x:v>34</x:v>
      </x:c>
      <x:c r="B39" s="54" t="str">
        <x:v>R034</x:v>
      </x:c>
      <x:c r="C39" s="57" t="n">
        <x:v>102</x:v>
      </x:c>
      <x:c r="D39" s="57" t="n">
        <x:v>3</x:v>
      </x:c>
      <x:c r="E39" s="54" t="str">
        <x:v>13</x:v>
      </x:c>
      <x:c r="F39" s="57" t="n">
        <x:v>2.89</x:v>
      </x:c>
      <x:c r="G39" s="57" t="n">
        <x:v>0</x:v>
      </x:c>
      <x:c r="H39" s="57" t="n">
        <x:v>2.89</x:v>
      </x:c>
      <x:c r="I39" s="58" t="n">
        <x:f>IF(OR(D39="",H39="",D39&lt;=0),"",H39/D39*100)</x:f>
        <x:v>96.33333333333334</x:v>
      </x:c>
      <x:c r="J39" s="57" t="n">
        <x:v>0</x:v>
      </x:c>
      <x:c r="K39" s="57" t="n">
        <x:v>102</x:v>
      </x:c>
      <x:c r="L39" s="57" t="n">
        <x:v>0.44</x:v>
      </x:c>
      <x:c r="M39" s="57" t="n">
        <x:v>2.45</x:v>
      </x:c>
      <x:c r="N39" s="57" t="n">
        <x:v>81.67</x:v>
      </x:c>
      <x:c r="O39" s="45" t="str">
        <x:v>模拟回次；深度按原始沿孔深记录</x:v>
      </x:c>
      <x:c r="P39" s="49" t="str">
        <x:f>IF(OR(D39="",H39=""),"",IF(OR(D39&lt;=0,H39&lt;0),"核对输入",IF(H39&gt;D39,"请核实长度","")))</x:f>
      </x:c>
    </x:row>
    <x:row r="40">
      <x:c r="A40" s="49" t="n">
        <x:f>IF(B40="","",ROW()-5)</x:f>
        <x:v>35</x:v>
      </x:c>
      <x:c r="B40" s="54" t="str">
        <x:v>R035</x:v>
      </x:c>
      <x:c r="C40" s="57" t="n">
        <x:v>105</x:v>
      </x:c>
      <x:c r="D40" s="57" t="n">
        <x:v>3</x:v>
      </x:c>
      <x:c r="E40" s="54" t="str">
        <x:v>14</x:v>
      </x:c>
      <x:c r="F40" s="57" t="n">
        <x:v>2.78</x:v>
      </x:c>
      <x:c r="G40" s="57" t="n">
        <x:v>0</x:v>
      </x:c>
      <x:c r="H40" s="57" t="n">
        <x:v>2.78</x:v>
      </x:c>
      <x:c r="I40" s="58" t="n">
        <x:f>IF(OR(D40="",H40="",D40&lt;=0),"",H40/D40*100)</x:f>
        <x:v>92.66666666666666</x:v>
      </x:c>
      <x:c r="J40" s="57" t="n">
        <x:v>0</x:v>
      </x:c>
      <x:c r="K40" s="57" t="n">
        <x:v>105</x:v>
      </x:c>
      <x:c r="L40" s="57" t="n">
        <x:v>0.4</x:v>
      </x:c>
      <x:c r="M40" s="57" t="n">
        <x:v>2.38</x:v>
      </x:c>
      <x:c r="N40" s="57" t="n">
        <x:v>79.33</x:v>
      </x:c>
      <x:c r="O40" s="45" t="str">
        <x:v>模拟回次；深度按原始沿孔深记录</x:v>
      </x:c>
      <x:c r="P40" s="49" t="str">
        <x:f>IF(OR(D40="",H40=""),"",IF(OR(D40&lt;=0,H40&lt;0),"核对输入",IF(H40&gt;D40,"请核实长度","")))</x:f>
      </x:c>
    </x:row>
    <x:row r="41">
      <x:c r="A41" s="49" t="n">
        <x:f>IF(B41="","",ROW()-5)</x:f>
        <x:v>36</x:v>
      </x:c>
      <x:c r="B41" s="54" t="str">
        <x:v>R036</x:v>
      </x:c>
      <x:c r="C41" s="57" t="n">
        <x:v>108</x:v>
      </x:c>
      <x:c r="D41" s="57" t="n">
        <x:v>3</x:v>
      </x:c>
      <x:c r="E41" s="54" t="str">
        <x:v>8</x:v>
      </x:c>
      <x:c r="F41" s="57" t="n">
        <x:v>2.61</x:v>
      </x:c>
      <x:c r="G41" s="57" t="n">
        <x:v>0</x:v>
      </x:c>
      <x:c r="H41" s="57" t="n">
        <x:v>2.61</x:v>
      </x:c>
      <x:c r="I41" s="58" t="n">
        <x:f>IF(OR(D41="",H41="",D41&lt;=0),"",H41/D41*100)</x:f>
        <x:v>87</x:v>
      </x:c>
      <x:c r="J41" s="57" t="n">
        <x:v>0</x:v>
      </x:c>
      <x:c r="K41" s="57" t="n">
        <x:v>108</x:v>
      </x:c>
      <x:c r="L41" s="57" t="n">
        <x:v>0.35</x:v>
      </x:c>
      <x:c r="M41" s="57" t="n">
        <x:v>2.26</x:v>
      </x:c>
      <x:c r="N41" s="57" t="n">
        <x:v>75.33</x:v>
      </x:c>
      <x:c r="O41" s="45" t="str">
        <x:v>模拟回次；深度按原始沿孔深记录</x:v>
      </x:c>
      <x:c r="P41" s="49" t="str">
        <x:f>IF(OR(D41="",H41=""),"",IF(OR(D41&lt;=0,H41&lt;0),"核对输入",IF(H41&gt;D41,"请核实长度","")))</x:f>
      </x:c>
    </x:row>
    <x:row r="42">
      <x:c r="A42" s="49" t="n">
        <x:f>IF(B42="","",ROW()-5)</x:f>
        <x:v>37</x:v>
      </x:c>
      <x:c r="B42" s="54" t="str">
        <x:v>R037</x:v>
      </x:c>
      <x:c r="C42" s="57" t="n">
        <x:v>111</x:v>
      </x:c>
      <x:c r="D42" s="57" t="n">
        <x:v>3</x:v>
      </x:c>
      <x:c r="E42" s="54" t="str">
        <x:v>9</x:v>
      </x:c>
      <x:c r="F42" s="57" t="n">
        <x:v>2.44</x:v>
      </x:c>
      <x:c r="G42" s="57" t="n">
        <x:v>0</x:v>
      </x:c>
      <x:c r="H42" s="57" t="n">
        <x:v>2.44</x:v>
      </x:c>
      <x:c r="I42" s="58" t="n">
        <x:f>IF(OR(D42="",H42="",D42&lt;=0),"",H42/D42*100)</x:f>
        <x:v>81.33333333333333</x:v>
      </x:c>
      <x:c r="J42" s="57" t="n">
        <x:v>0</x:v>
      </x:c>
      <x:c r="K42" s="57" t="n">
        <x:v>111</x:v>
      </x:c>
      <x:c r="L42" s="57" t="n">
        <x:v>0.31</x:v>
      </x:c>
      <x:c r="M42" s="57" t="n">
        <x:v>2.13</x:v>
      </x:c>
      <x:c r="N42" s="57" t="n">
        <x:v>71</x:v>
      </x:c>
      <x:c r="O42" s="45" t="str">
        <x:v>模拟回次；深度按原始沿孔深记录</x:v>
      </x:c>
      <x:c r="P42" s="49" t="str">
        <x:f>IF(OR(D42="",H42=""),"",IF(OR(D42&lt;=0,H42&lt;0),"核对输入",IF(H42&gt;D42,"请核实长度","")))</x:f>
      </x:c>
    </x:row>
    <x:row r="43">
      <x:c r="A43" s="49" t="n">
        <x:f>IF(B43="","",ROW()-5)</x:f>
        <x:v>38</x:v>
      </x:c>
      <x:c r="B43" s="54" t="str">
        <x:v>R038</x:v>
      </x:c>
      <x:c r="C43" s="57" t="n">
        <x:v>114</x:v>
      </x:c>
      <x:c r="D43" s="57" t="n">
        <x:v>3</x:v>
      </x:c>
      <x:c r="E43" s="54" t="str">
        <x:v>10</x:v>
      </x:c>
      <x:c r="F43" s="57" t="n">
        <x:v>2.35</x:v>
      </x:c>
      <x:c r="G43" s="57" t="n">
        <x:v>0</x:v>
      </x:c>
      <x:c r="H43" s="57" t="n">
        <x:v>2.35</x:v>
      </x:c>
      <x:c r="I43" s="58" t="n">
        <x:f>IF(OR(D43="",H43="",D43&lt;=0),"",H43/D43*100)</x:f>
        <x:v>78.33333333333333</x:v>
      </x:c>
      <x:c r="J43" s="57" t="n">
        <x:v>0</x:v>
      </x:c>
      <x:c r="K43" s="57" t="n">
        <x:v>114</x:v>
      </x:c>
      <x:c r="L43" s="57" t="n">
        <x:v>0.29</x:v>
      </x:c>
      <x:c r="M43" s="57" t="n">
        <x:v>2.06</x:v>
      </x:c>
      <x:c r="N43" s="57" t="n">
        <x:v>68.67</x:v>
      </x:c>
      <x:c r="O43" s="45" t="str">
        <x:v>模拟回次；深度按原始沿孔深记录</x:v>
      </x:c>
      <x:c r="P43" s="49" t="str">
        <x:f>IF(OR(D43="",H43=""),"",IF(OR(D43&lt;=0,H43&lt;0),"核对输入",IF(H43&gt;D43,"请核实长度","")))</x:f>
      </x:c>
    </x:row>
    <x:row r="44">
      <x:c r="A44" s="49" t="n">
        <x:f>IF(B44="","",ROW()-5)</x:f>
        <x:v>39</x:v>
      </x:c>
      <x:c r="B44" s="54" t="str">
        <x:v>R039</x:v>
      </x:c>
      <x:c r="C44" s="57" t="n">
        <x:v>117</x:v>
      </x:c>
      <x:c r="D44" s="57" t="n">
        <x:v>3</x:v>
      </x:c>
      <x:c r="E44" s="54" t="str">
        <x:v>11</x:v>
      </x:c>
      <x:c r="F44" s="57" t="n">
        <x:v>2.36</x:v>
      </x:c>
      <x:c r="G44" s="57" t="n">
        <x:v>0</x:v>
      </x:c>
      <x:c r="H44" s="57" t="n">
        <x:v>2.36</x:v>
      </x:c>
      <x:c r="I44" s="58" t="n">
        <x:f>IF(OR(D44="",H44="",D44&lt;=0),"",H44/D44*100)</x:f>
        <x:v>78.66666666666666</x:v>
      </x:c>
      <x:c r="J44" s="57" t="n">
        <x:v>0</x:v>
      </x:c>
      <x:c r="K44" s="57" t="n">
        <x:v>117</x:v>
      </x:c>
      <x:c r="L44" s="57" t="n">
        <x:v>0.28</x:v>
      </x:c>
      <x:c r="M44" s="57" t="n">
        <x:v>2.08</x:v>
      </x:c>
      <x:c r="N44" s="57" t="n">
        <x:v>69.33</x:v>
      </x:c>
      <x:c r="O44" s="45" t="str">
        <x:v>模拟回次；深度按原始沿孔深记录</x:v>
      </x:c>
      <x:c r="P44" s="49" t="str">
        <x:f>IF(OR(D44="",H44=""),"",IF(OR(D44&lt;=0,H44&lt;0),"核对输入",IF(H44&gt;D44,"请核实长度","")))</x:f>
      </x:c>
    </x:row>
    <x:row r="45">
      <x:c r="A45" s="49" t="n">
        <x:f>IF(B45="","",ROW()-5)</x:f>
        <x:v>40</x:v>
      </x:c>
      <x:c r="B45" s="54" t="str">
        <x:v>R040</x:v>
      </x:c>
      <x:c r="C45" s="57" t="n">
        <x:v>120</x:v>
      </x:c>
      <x:c r="D45" s="57" t="n">
        <x:v>3</x:v>
      </x:c>
      <x:c r="E45" s="54" t="str">
        <x:v>12</x:v>
      </x:c>
      <x:c r="F45" s="57" t="n">
        <x:v>2.47</x:v>
      </x:c>
      <x:c r="G45" s="57" t="n">
        <x:v>0</x:v>
      </x:c>
      <x:c r="H45" s="57" t="n">
        <x:v>2.47</x:v>
      </x:c>
      <x:c r="I45" s="58" t="n">
        <x:f>IF(OR(D45="",H45="",D45&lt;=0),"",H45/D45*100)</x:f>
        <x:v>82.33333333333334</x:v>
      </x:c>
      <x:c r="J45" s="57" t="n">
        <x:v>0</x:v>
      </x:c>
      <x:c r="K45" s="57" t="n">
        <x:v>120</x:v>
      </x:c>
      <x:c r="L45" s="57" t="n">
        <x:v>0.3</x:v>
      </x:c>
      <x:c r="M45" s="57" t="n">
        <x:v>2.17</x:v>
      </x:c>
      <x:c r="N45" s="57" t="n">
        <x:v>72.33</x:v>
      </x:c>
      <x:c r="O45" s="45" t="str">
        <x:v>模拟回次；深度按原始沿孔深记录</x:v>
      </x:c>
      <x:c r="P45" s="49" t="str">
        <x:f>IF(OR(D45="",H45=""),"",IF(OR(D45&lt;=0,H45&lt;0),"核对输入",IF(H45&gt;D45,"请核实长度","")))</x:f>
      </x:c>
    </x:row>
    <x:row r="46">
      <x:c r="A46" s="49" t="n">
        <x:f>IF(B46="","",ROW()-5)</x:f>
        <x:v>41</x:v>
      </x:c>
      <x:c r="B46" s="54" t="str">
        <x:v>R041</x:v>
      </x:c>
      <x:c r="C46" s="57" t="n">
        <x:v>123</x:v>
      </x:c>
      <x:c r="D46" s="57" t="n">
        <x:v>3</x:v>
      </x:c>
      <x:c r="E46" s="54" t="str">
        <x:v>13</x:v>
      </x:c>
      <x:c r="F46" s="57" t="n">
        <x:v>2.64</x:v>
      </x:c>
      <x:c r="G46" s="57" t="n">
        <x:v>0</x:v>
      </x:c>
      <x:c r="H46" s="57" t="n">
        <x:v>2.64</x:v>
      </x:c>
      <x:c r="I46" s="58" t="n">
        <x:f>IF(OR(D46="",H46="",D46&lt;=0),"",H46/D46*100)</x:f>
        <x:v>88</x:v>
      </x:c>
      <x:c r="J46" s="57" t="n">
        <x:v>0</x:v>
      </x:c>
      <x:c r="K46" s="57" t="n">
        <x:v>123</x:v>
      </x:c>
      <x:c r="L46" s="57" t="n">
        <x:v>0.33</x:v>
      </x:c>
      <x:c r="M46" s="57" t="n">
        <x:v>2.31</x:v>
      </x:c>
      <x:c r="N46" s="57" t="n">
        <x:v>77</x:v>
      </x:c>
      <x:c r="O46" s="45" t="str">
        <x:v>模拟回次；深度按原始沿孔深记录</x:v>
      </x:c>
      <x:c r="P46" s="49" t="str">
        <x:f>IF(OR(D46="",H46=""),"",IF(OR(D46&lt;=0,H46&lt;0),"核对输入",IF(H46&gt;D46,"请核实长度","")))</x:f>
      </x:c>
    </x:row>
    <x:row r="47">
      <x:c r="A47" s="49" t="n">
        <x:f>IF(B47="","",ROW()-5)</x:f>
        <x:v>42</x:v>
      </x:c>
      <x:c r="B47" s="54" t="str">
        <x:v>R042</x:v>
      </x:c>
      <x:c r="C47" s="57" t="n">
        <x:v>126</x:v>
      </x:c>
      <x:c r="D47" s="57" t="n">
        <x:v>3</x:v>
      </x:c>
      <x:c r="E47" s="54" t="str">
        <x:v>14</x:v>
      </x:c>
      <x:c r="F47" s="57" t="n">
        <x:v>2.81</x:v>
      </x:c>
      <x:c r="G47" s="57" t="n">
        <x:v>0</x:v>
      </x:c>
      <x:c r="H47" s="57" t="n">
        <x:v>2.81</x:v>
      </x:c>
      <x:c r="I47" s="58" t="n">
        <x:f>IF(OR(D47="",H47="",D47&lt;=0),"",H47/D47*100)</x:f>
        <x:v>93.66666666666667</x:v>
      </x:c>
      <x:c r="J47" s="57" t="n">
        <x:v>0</x:v>
      </x:c>
      <x:c r="K47" s="57" t="n">
        <x:v>126</x:v>
      </x:c>
      <x:c r="L47" s="57" t="n">
        <x:v>0.37</x:v>
      </x:c>
      <x:c r="M47" s="57" t="n">
        <x:v>2.44</x:v>
      </x:c>
      <x:c r="N47" s="57" t="n">
        <x:v>81.33</x:v>
      </x:c>
      <x:c r="O47" s="45" t="str">
        <x:v>模拟回次；深度按原始沿孔深记录</x:v>
      </x:c>
      <x:c r="P47" s="49" t="str">
        <x:f>IF(OR(D47="",H47=""),"",IF(OR(D47&lt;=0,H47&lt;0),"核对输入",IF(H47&gt;D47,"请核实长度","")))</x:f>
      </x:c>
    </x:row>
    <x:row r="48">
      <x:c r="A48" s="49" t="n">
        <x:f>IF(B48="","",ROW()-5)</x:f>
        <x:v>43</x:v>
      </x:c>
      <x:c r="B48" s="54" t="str">
        <x:v>R043</x:v>
      </x:c>
      <x:c r="C48" s="57" t="n">
        <x:v>129</x:v>
      </x:c>
      <x:c r="D48" s="57" t="n">
        <x:v>3</x:v>
      </x:c>
      <x:c r="E48" s="54" t="str">
        <x:v>8</x:v>
      </x:c>
      <x:c r="F48" s="57" t="n">
        <x:v>2.9</x:v>
      </x:c>
      <x:c r="G48" s="57" t="n">
        <x:v>0</x:v>
      </x:c>
      <x:c r="H48" s="57" t="n">
        <x:v>2.9</x:v>
      </x:c>
      <x:c r="I48" s="58" t="n">
        <x:f>IF(OR(D48="",H48="",D48&lt;=0),"",H48/D48*100)</x:f>
        <x:v>96.66666666666667</x:v>
      </x:c>
      <x:c r="J48" s="57" t="n">
        <x:v>0</x:v>
      </x:c>
      <x:c r="K48" s="57" t="n">
        <x:v>129</x:v>
      </x:c>
      <x:c r="L48" s="57" t="n">
        <x:v>0.4</x:v>
      </x:c>
      <x:c r="M48" s="57" t="n">
        <x:v>2.5</x:v>
      </x:c>
      <x:c r="N48" s="57" t="n">
        <x:v>83.33</x:v>
      </x:c>
      <x:c r="O48" s="45" t="str">
        <x:v>模拟回次；深度按原始沿孔深记录</x:v>
      </x:c>
      <x:c r="P48" s="49" t="str">
        <x:f>IF(OR(D48="",H48=""),"",IF(OR(D48&lt;=0,H48&lt;0),"核对输入",IF(H48&gt;D48,"请核实长度","")))</x:f>
      </x:c>
    </x:row>
    <x:row r="49">
      <x:c r="A49" s="49" t="n">
        <x:f>IF(B49="","",ROW()-5)</x:f>
        <x:v>44</x:v>
      </x:c>
      <x:c r="B49" s="54" t="str">
        <x:v>R044</x:v>
      </x:c>
      <x:c r="C49" s="57" t="n">
        <x:v>132</x:v>
      </x:c>
      <x:c r="D49" s="57" t="n">
        <x:v>3</x:v>
      </x:c>
      <x:c r="E49" s="54" t="str">
        <x:v>9</x:v>
      </x:c>
      <x:c r="F49" s="57" t="n">
        <x:v>2.89</x:v>
      </x:c>
      <x:c r="G49" s="57" t="n">
        <x:v>0</x:v>
      </x:c>
      <x:c r="H49" s="57" t="n">
        <x:v>2.89</x:v>
      </x:c>
      <x:c r="I49" s="58" t="n">
        <x:f>IF(OR(D49="",H49="",D49&lt;=0),"",H49/D49*100)</x:f>
        <x:v>96.33333333333334</x:v>
      </x:c>
      <x:c r="J49" s="57" t="n">
        <x:v>0</x:v>
      </x:c>
      <x:c r="K49" s="57" t="n">
        <x:v>132</x:v>
      </x:c>
      <x:c r="L49" s="57" t="n">
        <x:v>0.42</x:v>
      </x:c>
      <x:c r="M49" s="57" t="n">
        <x:v>2.47</x:v>
      </x:c>
      <x:c r="N49" s="57" t="n">
        <x:v>82.33</x:v>
      </x:c>
      <x:c r="O49" s="45" t="str">
        <x:v>模拟回次；深度按原始沿孔深记录</x:v>
      </x:c>
      <x:c r="P49" s="49" t="str">
        <x:f>IF(OR(D49="",H49=""),"",IF(OR(D49&lt;=0,H49&lt;0),"核对输入",IF(H49&gt;D49,"请核实长度","")))</x:f>
      </x:c>
    </x:row>
    <x:row r="50">
      <x:c r="A50" s="49" t="n">
        <x:f>IF(B50="","",ROW()-5)</x:f>
        <x:v>45</x:v>
      </x:c>
      <x:c r="B50" s="54" t="str">
        <x:v>R045</x:v>
      </x:c>
      <x:c r="C50" s="57" t="n">
        <x:v>135</x:v>
      </x:c>
      <x:c r="D50" s="57" t="n">
        <x:v>3</x:v>
      </x:c>
      <x:c r="E50" s="54" t="str">
        <x:v>10</x:v>
      </x:c>
      <x:c r="F50" s="57" t="n">
        <x:v>2.78</x:v>
      </x:c>
      <x:c r="G50" s="57" t="n">
        <x:v>0</x:v>
      </x:c>
      <x:c r="H50" s="57" t="n">
        <x:v>2.78</x:v>
      </x:c>
      <x:c r="I50" s="58" t="n">
        <x:f>IF(OR(D50="",H50="",D50&lt;=0),"",H50/D50*100)</x:f>
        <x:v>92.66666666666666</x:v>
      </x:c>
      <x:c r="J50" s="57" t="n">
        <x:v>0</x:v>
      </x:c>
      <x:c r="K50" s="57" t="n">
        <x:v>135</x:v>
      </x:c>
      <x:c r="L50" s="57" t="n">
        <x:v>0.43</x:v>
      </x:c>
      <x:c r="M50" s="57" t="n">
        <x:v>2.35</x:v>
      </x:c>
      <x:c r="N50" s="57" t="n">
        <x:v>78.33</x:v>
      </x:c>
      <x:c r="O50" s="45" t="str">
        <x:v>模拟回次；深度按原始沿孔深记录</x:v>
      </x:c>
      <x:c r="P50" s="49" t="str">
        <x:f>IF(OR(D50="",H50=""),"",IF(OR(D50&lt;=0,H50&lt;0),"核对输入",IF(H50&gt;D50,"请核实长度","")))</x:f>
      </x:c>
    </x:row>
    <x:row r="51">
      <x:c r="A51" s="49" t="n">
        <x:f>IF(B51="","",ROW()-5)</x:f>
        <x:v>46</x:v>
      </x:c>
      <x:c r="B51" s="54" t="str">
        <x:v>R046</x:v>
      </x:c>
      <x:c r="C51" s="57" t="n">
        <x:v>138</x:v>
      </x:c>
      <x:c r="D51" s="57" t="n">
        <x:v>3</x:v>
      </x:c>
      <x:c r="E51" s="54" t="str">
        <x:v>11</x:v>
      </x:c>
      <x:c r="F51" s="57" t="n">
        <x:v>2.6</x:v>
      </x:c>
      <x:c r="G51" s="57" t="n">
        <x:v>0</x:v>
      </x:c>
      <x:c r="H51" s="57" t="n">
        <x:v>2.6</x:v>
      </x:c>
      <x:c r="I51" s="58" t="n">
        <x:f>IF(OR(D51="",H51="",D51&lt;=0),"",H51/D51*100)</x:f>
        <x:v>86.66666666666667</x:v>
      </x:c>
      <x:c r="J51" s="57" t="n">
        <x:v>0</x:v>
      </x:c>
      <x:c r="K51" s="57" t="n">
        <x:v>138</x:v>
      </x:c>
      <x:c r="L51" s="57" t="n">
        <x:v>0.41</x:v>
      </x:c>
      <x:c r="M51" s="57" t="n">
        <x:v>2.19</x:v>
      </x:c>
      <x:c r="N51" s="57" t="n">
        <x:v>73</x:v>
      </x:c>
      <x:c r="O51" s="45" t="str">
        <x:v>模拟回次；深度按原始沿孔深记录</x:v>
      </x:c>
      <x:c r="P51" s="49" t="str">
        <x:f>IF(OR(D51="",H51=""),"",IF(OR(D51&lt;=0,H51&lt;0),"核对输入",IF(H51&gt;D51,"请核实长度","")))</x:f>
      </x:c>
    </x:row>
    <x:row r="52">
      <x:c r="A52" s="49" t="n">
        <x:f>IF(B52="","",ROW()-5)</x:f>
        <x:v>47</x:v>
      </x:c>
      <x:c r="B52" s="54" t="str">
        <x:v>R047</x:v>
      </x:c>
      <x:c r="C52" s="57" t="n">
        <x:v>141</x:v>
      </x:c>
      <x:c r="D52" s="57" t="n">
        <x:v>3</x:v>
      </x:c>
      <x:c r="E52" s="54" t="str">
        <x:v>12</x:v>
      </x:c>
      <x:c r="F52" s="57" t="n">
        <x:v>2.44</x:v>
      </x:c>
      <x:c r="G52" s="57" t="n">
        <x:v>0</x:v>
      </x:c>
      <x:c r="H52" s="57" t="n">
        <x:v>2.44</x:v>
      </x:c>
      <x:c r="I52" s="58" t="n">
        <x:f>IF(OR(D52="",H52="",D52&lt;=0),"",H52/D52*100)</x:f>
        <x:v>81.33333333333333</x:v>
      </x:c>
      <x:c r="J52" s="57" t="n">
        <x:v>0</x:v>
      </x:c>
      <x:c r="K52" s="57" t="n">
        <x:v>141</x:v>
      </x:c>
      <x:c r="L52" s="57" t="n">
        <x:v>0.39</x:v>
      </x:c>
      <x:c r="M52" s="57" t="n">
        <x:v>2.05</x:v>
      </x:c>
      <x:c r="N52" s="57" t="n">
        <x:v>68.33</x:v>
      </x:c>
      <x:c r="O52" s="45" t="str">
        <x:v>模拟回次；深度按原始沿孔深记录</x:v>
      </x:c>
      <x:c r="P52" s="49" t="str">
        <x:f>IF(OR(D52="",H52=""),"",IF(OR(D52&lt;=0,H52&lt;0),"核对输入",IF(H52&gt;D52,"请核实长度","")))</x:f>
      </x:c>
    </x:row>
    <x:row r="53">
      <x:c r="A53" s="49" t="n">
        <x:f>IF(B53="","",ROW()-5)</x:f>
        <x:v>48</x:v>
      </x:c>
      <x:c r="B53" s="54" t="str">
        <x:v>R048</x:v>
      </x:c>
      <x:c r="C53" s="57" t="n">
        <x:v>144</x:v>
      </x:c>
      <x:c r="D53" s="57" t="n">
        <x:v>3</x:v>
      </x:c>
      <x:c r="E53" s="54" t="str">
        <x:v>13</x:v>
      </x:c>
      <x:c r="F53" s="57" t="n">
        <x:v>2.35</x:v>
      </x:c>
      <x:c r="G53" s="57" t="n">
        <x:v>0</x:v>
      </x:c>
      <x:c r="H53" s="57" t="n">
        <x:v>2.35</x:v>
      </x:c>
      <x:c r="I53" s="58" t="n">
        <x:f>IF(OR(D53="",H53="",D53&lt;=0),"",H53/D53*100)</x:f>
        <x:v>78.33333333333333</x:v>
      </x:c>
      <x:c r="J53" s="57" t="n">
        <x:v>0</x:v>
      </x:c>
      <x:c r="K53" s="57" t="n">
        <x:v>144</x:v>
      </x:c>
      <x:c r="L53" s="57" t="n">
        <x:v>0.37</x:v>
      </x:c>
      <x:c r="M53" s="57" t="n">
        <x:v>1.98</x:v>
      </x:c>
      <x:c r="N53" s="57" t="n">
        <x:v>66</x:v>
      </x:c>
      <x:c r="O53" s="45" t="str">
        <x:v>模拟回次；深度按原始沿孔深记录</x:v>
      </x:c>
      <x:c r="P53" s="49" t="str">
        <x:f>IF(OR(D53="",H53=""),"",IF(OR(D53&lt;=0,H53&lt;0),"核对输入",IF(H53&gt;D53,"请核实长度","")))</x:f>
      </x:c>
    </x:row>
    <x:row r="54">
      <x:c r="A54" s="49" t="n">
        <x:f>IF(B54="","",ROW()-5)</x:f>
        <x:v>49</x:v>
      </x:c>
      <x:c r="B54" s="54" t="str">
        <x:v>R049</x:v>
      </x:c>
      <x:c r="C54" s="57" t="n">
        <x:v>147</x:v>
      </x:c>
      <x:c r="D54" s="57" t="n">
        <x:v>3</x:v>
      </x:c>
      <x:c r="E54" s="54" t="str">
        <x:v>14</x:v>
      </x:c>
      <x:c r="F54" s="57" t="n">
        <x:v>2.36</x:v>
      </x:c>
      <x:c r="G54" s="57" t="n">
        <x:v>0</x:v>
      </x:c>
      <x:c r="H54" s="57" t="n">
        <x:v>2.36</x:v>
      </x:c>
      <x:c r="I54" s="58" t="n">
        <x:f>IF(OR(D54="",H54="",D54&lt;=0),"",H54/D54*100)</x:f>
        <x:v>78.66666666666666</x:v>
      </x:c>
      <x:c r="J54" s="57" t="n">
        <x:v>0</x:v>
      </x:c>
      <x:c r="K54" s="57" t="n">
        <x:v>147</x:v>
      </x:c>
      <x:c r="L54" s="57" t="n">
        <x:v>0.36</x:v>
      </x:c>
      <x:c r="M54" s="57" t="n">
        <x:v>2</x:v>
      </x:c>
      <x:c r="N54" s="57" t="n">
        <x:v>66.67</x:v>
      </x:c>
      <x:c r="O54" s="45" t="str">
        <x:v>模拟回次；深度按原始沿孔深记录</x:v>
      </x:c>
      <x:c r="P54" s="49" t="str">
        <x:f>IF(OR(D54="",H54=""),"",IF(OR(D54&lt;=0,H54&lt;0),"核对输入",IF(H54&gt;D54,"请核实长度","")))</x:f>
      </x:c>
    </x:row>
    <x:row r="55">
      <x:c r="A55" s="49" t="n">
        <x:f>IF(B55="","",ROW()-5)</x:f>
        <x:v>50</x:v>
      </x:c>
      <x:c r="B55" s="54" t="str">
        <x:v>R050</x:v>
      </x:c>
      <x:c r="C55" s="57" t="n">
        <x:v>150</x:v>
      </x:c>
      <x:c r="D55" s="57" t="n">
        <x:v>3</x:v>
      </x:c>
      <x:c r="E55" s="54" t="str">
        <x:v>8</x:v>
      </x:c>
      <x:c r="F55" s="57" t="n">
        <x:v>2.48</x:v>
      </x:c>
      <x:c r="G55" s="57" t="n">
        <x:v>0</x:v>
      </x:c>
      <x:c r="H55" s="57" t="n">
        <x:v>2.48</x:v>
      </x:c>
      <x:c r="I55" s="58" t="n">
        <x:f>IF(OR(D55="",H55="",D55&lt;=0),"",H55/D55*100)</x:f>
        <x:v>82.66666666666667</x:v>
      </x:c>
      <x:c r="J55" s="57" t="n">
        <x:v>0</x:v>
      </x:c>
      <x:c r="K55" s="57" t="n">
        <x:v>150</x:v>
      </x:c>
      <x:c r="L55" s="57" t="n">
        <x:v>0.36</x:v>
      </x:c>
      <x:c r="M55" s="57" t="n">
        <x:v>2.12</x:v>
      </x:c>
      <x:c r="N55" s="57" t="n">
        <x:v>70.67</x:v>
      </x:c>
      <x:c r="O55" s="45" t="str">
        <x:v>模拟回次；深度按原始沿孔深记录</x:v>
      </x:c>
      <x:c r="P55" s="49" t="str">
        <x:f>IF(OR(D55="",H55=""),"",IF(OR(D55&lt;=0,H55&lt;0),"核对输入",IF(H55&gt;D55,"请核实长度","")))</x:f>
      </x:c>
    </x:row>
    <x:row r="56">
      <x:c r="A56" s="49" t="n">
        <x:f>IF(B56="","",ROW()-5)</x:f>
        <x:v>51</x:v>
      </x:c>
      <x:c r="B56" s="54" t="str">
        <x:v>R051</x:v>
      </x:c>
      <x:c r="C56" s="57" t="n">
        <x:v>153</x:v>
      </x:c>
      <x:c r="D56" s="57" t="n">
        <x:v>3</x:v>
      </x:c>
      <x:c r="E56" s="54" t="str">
        <x:v>9</x:v>
      </x:c>
      <x:c r="F56" s="57" t="n">
        <x:v>2.65</x:v>
      </x:c>
      <x:c r="G56" s="57" t="n">
        <x:v>0</x:v>
      </x:c>
      <x:c r="H56" s="57" t="n">
        <x:v>2.65</x:v>
      </x:c>
      <x:c r="I56" s="58" t="n">
        <x:f>IF(OR(D56="",H56="",D56&lt;=0),"",H56/D56*100)</x:f>
        <x:v>88.33333333333333</x:v>
      </x:c>
      <x:c r="J56" s="57" t="n">
        <x:v>0</x:v>
      </x:c>
      <x:c r="K56" s="57" t="n">
        <x:v>153</x:v>
      </x:c>
      <x:c r="L56" s="57" t="n">
        <x:v>0.37</x:v>
      </x:c>
      <x:c r="M56" s="57" t="n">
        <x:v>2.28</x:v>
      </x:c>
      <x:c r="N56" s="57" t="n">
        <x:v>76</x:v>
      </x:c>
      <x:c r="O56" s="45" t="str">
        <x:v>模拟回次；深度按原始沿孔深记录</x:v>
      </x:c>
      <x:c r="P56" s="49" t="str">
        <x:f>IF(OR(D56="",H56=""),"",IF(OR(D56&lt;=0,H56&lt;0),"核对输入",IF(H56&gt;D56,"请核实长度","")))</x:f>
      </x:c>
    </x:row>
    <x:row r="57">
      <x:c r="A57" s="49" t="n">
        <x:f>IF(B57="","",ROW()-5)</x:f>
        <x:v>52</x:v>
      </x:c>
      <x:c r="B57" s="54" t="str">
        <x:v>R052</x:v>
      </x:c>
      <x:c r="C57" s="57" t="n">
        <x:v>156</x:v>
      </x:c>
      <x:c r="D57" s="57" t="n">
        <x:v>3</x:v>
      </x:c>
      <x:c r="E57" s="54" t="str">
        <x:v>10</x:v>
      </x:c>
      <x:c r="F57" s="57" t="n">
        <x:v>2.81</x:v>
      </x:c>
      <x:c r="G57" s="57" t="n">
        <x:v>0</x:v>
      </x:c>
      <x:c r="H57" s="57" t="n">
        <x:v>2.81</x:v>
      </x:c>
      <x:c r="I57" s="58" t="n">
        <x:f>IF(OR(D57="",H57="",D57&lt;=0),"",H57/D57*100)</x:f>
        <x:v>93.66666666666667</x:v>
      </x:c>
      <x:c r="J57" s="57" t="n">
        <x:v>0</x:v>
      </x:c>
      <x:c r="K57" s="57" t="n">
        <x:v>156</x:v>
      </x:c>
      <x:c r="L57" s="57" t="n">
        <x:v>0.37</x:v>
      </x:c>
      <x:c r="M57" s="57" t="n">
        <x:v>2.44</x:v>
      </x:c>
      <x:c r="N57" s="57" t="n">
        <x:v>81.33</x:v>
      </x:c>
      <x:c r="O57" s="45" t="str">
        <x:v>模拟回次；深度按原始沿孔深记录</x:v>
      </x:c>
      <x:c r="P57" s="49" t="str">
        <x:f>IF(OR(D57="",H57=""),"",IF(OR(D57&lt;=0,H57&lt;0),"核对输入",IF(H57&gt;D57,"请核实长度","")))</x:f>
      </x:c>
    </x:row>
    <x:row r="58">
      <x:c r="A58" s="49" t="n">
        <x:f>IF(B58="","",ROW()-5)</x:f>
        <x:v>53</x:v>
      </x:c>
      <x:c r="B58" s="54" t="str">
        <x:v>R053</x:v>
      </x:c>
      <x:c r="C58" s="57" t="n">
        <x:v>159</x:v>
      </x:c>
      <x:c r="D58" s="57" t="n">
        <x:v>3</x:v>
      </x:c>
      <x:c r="E58" s="54" t="str">
        <x:v>11</x:v>
      </x:c>
      <x:c r="F58" s="57" t="n">
        <x:v>2.9</x:v>
      </x:c>
      <x:c r="G58" s="57" t="n">
        <x:v>0</x:v>
      </x:c>
      <x:c r="H58" s="57" t="n">
        <x:v>2.9</x:v>
      </x:c>
      <x:c r="I58" s="58" t="n">
        <x:f>IF(OR(D58="",H58="",D58&lt;=0),"",H58/D58*100)</x:f>
        <x:v>96.66666666666667</x:v>
      </x:c>
      <x:c r="J58" s="57" t="n">
        <x:v>0</x:v>
      </x:c>
      <x:c r="K58" s="57" t="n">
        <x:v>159</x:v>
      </x:c>
      <x:c r="L58" s="57" t="n">
        <x:v>0.36</x:v>
      </x:c>
      <x:c r="M58" s="57" t="n">
        <x:v>2.54</x:v>
      </x:c>
      <x:c r="N58" s="57" t="n">
        <x:v>84.67</x:v>
      </x:c>
      <x:c r="O58" s="45" t="str">
        <x:v>模拟回次；深度按原始沿孔深记录</x:v>
      </x:c>
      <x:c r="P58" s="49" t="str">
        <x:f>IF(OR(D58="",H58=""),"",IF(OR(D58&lt;=0,H58&lt;0),"核对输入",IF(H58&gt;D58,"请核实长度","")))</x:f>
      </x:c>
    </x:row>
    <x:row r="59">
      <x:c r="A59" s="49" t="n">
        <x:f>IF(B59="","",ROW()-5)</x:f>
        <x:v>54</x:v>
      </x:c>
      <x:c r="B59" s="54" t="str">
        <x:v>R054</x:v>
      </x:c>
      <x:c r="C59" s="57" t="n">
        <x:v>162</x:v>
      </x:c>
      <x:c r="D59" s="57" t="n">
        <x:v>3</x:v>
      </x:c>
      <x:c r="E59" s="54" t="str">
        <x:v>12</x:v>
      </x:c>
      <x:c r="F59" s="57" t="n">
        <x:v>2.89</x:v>
      </x:c>
      <x:c r="G59" s="57" t="n">
        <x:v>0</x:v>
      </x:c>
      <x:c r="H59" s="57" t="n">
        <x:v>2.89</x:v>
      </x:c>
      <x:c r="I59" s="58" t="n">
        <x:f>IF(OR(D59="",H59="",D59&lt;=0),"",H59/D59*100)</x:f>
        <x:v>96.33333333333334</x:v>
      </x:c>
      <x:c r="J59" s="57" t="n">
        <x:v>0</x:v>
      </x:c>
      <x:c r="K59" s="57" t="n">
        <x:v>162</x:v>
      </x:c>
      <x:c r="L59" s="57" t="n">
        <x:v>0.35</x:v>
      </x:c>
      <x:c r="M59" s="57" t="n">
        <x:v>2.54</x:v>
      </x:c>
      <x:c r="N59" s="57" t="n">
        <x:v>84.67</x:v>
      </x:c>
      <x:c r="O59" s="45" t="str">
        <x:v>模拟回次；深度按原始沿孔深记录</x:v>
      </x:c>
      <x:c r="P59" s="49" t="str">
        <x:f>IF(OR(D59="",H59=""),"",IF(OR(D59&lt;=0,H59&lt;0),"核对输入",IF(H59&gt;D59,"请核实长度","")))</x:f>
      </x:c>
    </x:row>
    <x:row r="60">
      <x:c r="A60" s="49" t="n">
        <x:f>IF(B60="","",ROW()-5)</x:f>
        <x:v>55</x:v>
      </x:c>
      <x:c r="B60" s="54" t="str">
        <x:v>R055</x:v>
      </x:c>
      <x:c r="C60" s="57" t="n">
        <x:v>165</x:v>
      </x:c>
      <x:c r="D60" s="57" t="n">
        <x:v>3</x:v>
      </x:c>
      <x:c r="E60" s="54" t="str">
        <x:v>13</x:v>
      </x:c>
      <x:c r="F60" s="57" t="n">
        <x:v>2.77</x:v>
      </x:c>
      <x:c r="G60" s="57" t="n">
        <x:v>0</x:v>
      </x:c>
      <x:c r="H60" s="57" t="n">
        <x:v>2.77</x:v>
      </x:c>
      <x:c r="I60" s="58" t="n">
        <x:f>IF(OR(D60="",H60="",D60&lt;=0),"",H60/D60*100)</x:f>
        <x:v>92.33333333333333</x:v>
      </x:c>
      <x:c r="J60" s="57" t="n">
        <x:v>0</x:v>
      </x:c>
      <x:c r="K60" s="57" t="n">
        <x:v>165</x:v>
      </x:c>
      <x:c r="L60" s="57" t="n">
        <x:v>0.33</x:v>
      </x:c>
      <x:c r="M60" s="57" t="n">
        <x:v>2.44</x:v>
      </x:c>
      <x:c r="N60" s="57" t="n">
        <x:v>81.33</x:v>
      </x:c>
      <x:c r="O60" s="45" t="str">
        <x:v>模拟回次；深度按原始沿孔深记录</x:v>
      </x:c>
      <x:c r="P60" s="49" t="str">
        <x:f>IF(OR(D60="",H60=""),"",IF(OR(D60&lt;=0,H60&lt;0),"核对输入",IF(H60&gt;D60,"请核实长度","")))</x:f>
      </x:c>
    </x:row>
    <x:row r="61">
      <x:c r="A61" s="49" t="n">
        <x:f>IF(B61="","",ROW()-5)</x:f>
        <x:v>56</x:v>
      </x:c>
      <x:c r="B61" s="54" t="str">
        <x:v>R056</x:v>
      </x:c>
      <x:c r="C61" s="57" t="n">
        <x:v>168</x:v>
      </x:c>
      <x:c r="D61" s="57" t="n">
        <x:v>3</x:v>
      </x:c>
      <x:c r="E61" s="54" t="str">
        <x:v>14</x:v>
      </x:c>
      <x:c r="F61" s="57" t="n">
        <x:v>2.6</x:v>
      </x:c>
      <x:c r="G61" s="57" t="n">
        <x:v>0</x:v>
      </x:c>
      <x:c r="H61" s="57" t="n">
        <x:v>2.6</x:v>
      </x:c>
      <x:c r="I61" s="58" t="n">
        <x:f>IF(OR(D61="",H61="",D61&lt;=0),"",H61/D61*100)</x:f>
        <x:v>86.66666666666667</x:v>
      </x:c>
      <x:c r="J61" s="57" t="n">
        <x:v>0</x:v>
      </x:c>
      <x:c r="K61" s="57" t="n">
        <x:v>168</x:v>
      </x:c>
      <x:c r="L61" s="57" t="n">
        <x:v>0.32</x:v>
      </x:c>
      <x:c r="M61" s="57" t="n">
        <x:v>2.28</x:v>
      </x:c>
      <x:c r="N61" s="57" t="n">
        <x:v>76</x:v>
      </x:c>
      <x:c r="O61" s="45" t="str">
        <x:v>模拟回次；深度按原始沿孔深记录</x:v>
      </x:c>
      <x:c r="P61" s="49" t="str">
        <x:f>IF(OR(D61="",H61=""),"",IF(OR(D61&lt;=0,H61&lt;0),"核对输入",IF(H61&gt;D61,"请核实长度","")))</x:f>
      </x:c>
    </x:row>
    <x:row r="62">
      <x:c r="A62" s="49" t="n">
        <x:f>IF(B62="","",ROW()-5)</x:f>
        <x:v>57</x:v>
      </x:c>
      <x:c r="B62" s="54" t="str">
        <x:v>R057</x:v>
      </x:c>
      <x:c r="C62" s="57" t="n">
        <x:v>171</x:v>
      </x:c>
      <x:c r="D62" s="57" t="n">
        <x:v>3</x:v>
      </x:c>
      <x:c r="E62" s="54" t="str">
        <x:v>8</x:v>
      </x:c>
      <x:c r="F62" s="57" t="n">
        <x:v>2.44</x:v>
      </x:c>
      <x:c r="G62" s="57" t="n">
        <x:v>0</x:v>
      </x:c>
      <x:c r="H62" s="57" t="n">
        <x:v>2.44</x:v>
      </x:c>
      <x:c r="I62" s="58" t="n">
        <x:f>IF(OR(D62="",H62="",D62&lt;=0),"",H62/D62*100)</x:f>
        <x:v>81.33333333333333</x:v>
      </x:c>
      <x:c r="J62" s="57" t="n">
        <x:v>0</x:v>
      </x:c>
      <x:c r="K62" s="57" t="n">
        <x:v>171</x:v>
      </x:c>
      <x:c r="L62" s="57" t="n">
        <x:v>0.31</x:v>
      </x:c>
      <x:c r="M62" s="57" t="n">
        <x:v>2.13</x:v>
      </x:c>
      <x:c r="N62" s="57" t="n">
        <x:v>71</x:v>
      </x:c>
      <x:c r="O62" s="45" t="str">
        <x:v>模拟回次；深度按原始沿孔深记录</x:v>
      </x:c>
      <x:c r="P62" s="49" t="str">
        <x:f>IF(OR(D62="",H62=""),"",IF(OR(D62&lt;=0,H62&lt;0),"核对输入",IF(H62&gt;D62,"请核实长度","")))</x:f>
      </x:c>
    </x:row>
    <x:row r="63">
      <x:c r="A63" s="49" t="n">
        <x:f>IF(B63="","",ROW()-5)</x:f>
        <x:v>58</x:v>
      </x:c>
      <x:c r="B63" s="54" t="str">
        <x:v>R058</x:v>
      </x:c>
      <x:c r="C63" s="57" t="n">
        <x:v>174</x:v>
      </x:c>
      <x:c r="D63" s="57" t="n">
        <x:v>3</x:v>
      </x:c>
      <x:c r="E63" s="54" t="str">
        <x:v>9</x:v>
      </x:c>
      <x:c r="F63" s="57" t="n">
        <x:v>2.35</x:v>
      </x:c>
      <x:c r="G63" s="57" t="n">
        <x:v>0</x:v>
      </x:c>
      <x:c r="H63" s="57" t="n">
        <x:v>2.35</x:v>
      </x:c>
      <x:c r="I63" s="58" t="n">
        <x:f>IF(OR(D63="",H63="",D63&lt;=0),"",H63/D63*100)</x:f>
        <x:v>78.33333333333333</x:v>
      </x:c>
      <x:c r="J63" s="57" t="n">
        <x:v>0</x:v>
      </x:c>
      <x:c r="K63" s="57" t="n">
        <x:v>174</x:v>
      </x:c>
      <x:c r="L63" s="57" t="n">
        <x:v>0.32</x:v>
      </x:c>
      <x:c r="M63" s="57" t="n">
        <x:v>2.03</x:v>
      </x:c>
      <x:c r="N63" s="57" t="n">
        <x:v>67.67</x:v>
      </x:c>
      <x:c r="O63" s="45" t="str">
        <x:v>模拟回次；深度按原始沿孔深记录</x:v>
      </x:c>
      <x:c r="P63" s="49" t="str">
        <x:f>IF(OR(D63="",H63=""),"",IF(OR(D63&lt;=0,H63&lt;0),"核对输入",IF(H63&gt;D63,"请核实长度","")))</x:f>
      </x:c>
    </x:row>
    <x:row r="64">
      <x:c r="A64" s="49" t="n">
        <x:f>IF(B64="","",ROW()-5)</x:f>
        <x:v>59</x:v>
      </x:c>
      <x:c r="B64" s="54" t="str">
        <x:v>R059</x:v>
      </x:c>
      <x:c r="C64" s="57" t="n">
        <x:v>177</x:v>
      </x:c>
      <x:c r="D64" s="57" t="n">
        <x:v>3</x:v>
      </x:c>
      <x:c r="E64" s="54" t="str">
        <x:v>10</x:v>
      </x:c>
      <x:c r="F64" s="57" t="n">
        <x:v>2.36</x:v>
      </x:c>
      <x:c r="G64" s="57" t="n">
        <x:v>0</x:v>
      </x:c>
      <x:c r="H64" s="57" t="n">
        <x:v>2.36</x:v>
      </x:c>
      <x:c r="I64" s="58" t="n">
        <x:f>IF(OR(D64="",H64="",D64&lt;=0),"",H64/D64*100)</x:f>
        <x:v>78.66666666666666</x:v>
      </x:c>
      <x:c r="J64" s="57" t="n">
        <x:v>0</x:v>
      </x:c>
      <x:c r="K64" s="57" t="n">
        <x:v>177</x:v>
      </x:c>
      <x:c r="L64" s="57" t="n">
        <x:v>0.34</x:v>
      </x:c>
      <x:c r="M64" s="57" t="n">
        <x:v>2.02</x:v>
      </x:c>
      <x:c r="N64" s="57" t="n">
        <x:v>67.33</x:v>
      </x:c>
      <x:c r="O64" s="45" t="str">
        <x:v>模拟回次；深度按原始沿孔深记录</x:v>
      </x:c>
      <x:c r="P64" s="49" t="str">
        <x:f>IF(OR(D64="",H64=""),"",IF(OR(D64&lt;=0,H64&lt;0),"核对输入",IF(H64&gt;D64,"请核实长度","")))</x:f>
      </x:c>
    </x:row>
    <x:row r="65">
      <x:c r="A65" s="49" t="n">
        <x:f>IF(B65="","",ROW()-5)</x:f>
        <x:v>60</x:v>
      </x:c>
      <x:c r="B65" s="54" t="str">
        <x:v>R060</x:v>
      </x:c>
      <x:c r="C65" s="57" t="n">
        <x:v>180</x:v>
      </x:c>
      <x:c r="D65" s="57" t="n">
        <x:v>3</x:v>
      </x:c>
      <x:c r="E65" s="54" t="str">
        <x:v>11</x:v>
      </x:c>
      <x:c r="F65" s="57" t="n">
        <x:v>2.48</x:v>
      </x:c>
      <x:c r="G65" s="57" t="n">
        <x:v>0</x:v>
      </x:c>
      <x:c r="H65" s="57" t="n">
        <x:v>2.48</x:v>
      </x:c>
      <x:c r="I65" s="58" t="n">
        <x:f>IF(OR(D65="",H65="",D65&lt;=0),"",H65/D65*100)</x:f>
        <x:v>82.66666666666667</x:v>
      </x:c>
      <x:c r="J65" s="57" t="n">
        <x:v>0</x:v>
      </x:c>
      <x:c r="K65" s="57" t="n">
        <x:v>180</x:v>
      </x:c>
      <x:c r="L65" s="57" t="n">
        <x:v>0.38</x:v>
      </x:c>
      <x:c r="M65" s="57" t="n">
        <x:v>2.1</x:v>
      </x:c>
      <x:c r="N65" s="57" t="n">
        <x:v>70</x:v>
      </x:c>
      <x:c r="O65" s="45" t="str">
        <x:v>模拟回次；深度按原始沿孔深记录</x:v>
      </x:c>
      <x:c r="P65" s="49" t="str">
        <x:f>IF(OR(D65="",H65=""),"",IF(OR(D65&lt;=0,H65&lt;0),"核对输入",IF(H65&gt;D65,"请核实长度","")))</x:f>
      </x:c>
    </x:row>
    <x:row r="66">
      <x:c r="A66" s="49" t="n">
        <x:f>IF(B66="","",ROW()-5)</x:f>
        <x:v>61</x:v>
      </x:c>
      <x:c r="B66" s="54" t="str">
        <x:v>R061</x:v>
      </x:c>
      <x:c r="C66" s="57" t="n">
        <x:v>183</x:v>
      </x:c>
      <x:c r="D66" s="57" t="n">
        <x:v>3</x:v>
      </x:c>
      <x:c r="E66" s="54" t="str">
        <x:v>12</x:v>
      </x:c>
      <x:c r="F66" s="57" t="n">
        <x:v>2.65</x:v>
      </x:c>
      <x:c r="G66" s="57" t="n">
        <x:v>0</x:v>
      </x:c>
      <x:c r="H66" s="57" t="n">
        <x:v>2.65</x:v>
      </x:c>
      <x:c r="I66" s="58" t="n">
        <x:f>IF(OR(D66="",H66="",D66&lt;=0),"",H66/D66*100)</x:f>
        <x:v>88.33333333333333</x:v>
      </x:c>
      <x:c r="J66" s="57" t="n">
        <x:v>0</x:v>
      </x:c>
      <x:c r="K66" s="57" t="n">
        <x:v>183</x:v>
      </x:c>
      <x:c r="L66" s="57" t="n">
        <x:v>0.42</x:v>
      </x:c>
      <x:c r="M66" s="57" t="n">
        <x:v>2.23</x:v>
      </x:c>
      <x:c r="N66" s="57" t="n">
        <x:v>74.33</x:v>
      </x:c>
      <x:c r="O66" s="45" t="str">
        <x:v>模拟回次；深度按原始沿孔深记录</x:v>
      </x:c>
      <x:c r="P66" s="49" t="str">
        <x:f>IF(OR(D66="",H66=""),"",IF(OR(D66&lt;=0,H66&lt;0),"核对输入",IF(H66&gt;D66,"请核实长度","")))</x:f>
      </x:c>
    </x:row>
    <x:row r="67">
      <x:c r="A67" s="49" t="n">
        <x:f>IF(B67="","",ROW()-5)</x:f>
        <x:v>62</x:v>
      </x:c>
      <x:c r="B67" s="54" t="str">
        <x:v>R062</x:v>
      </x:c>
      <x:c r="C67" s="57" t="n">
        <x:v>186</x:v>
      </x:c>
      <x:c r="D67" s="57" t="n">
        <x:v>3</x:v>
      </x:c>
      <x:c r="E67" s="54" t="str">
        <x:v>13</x:v>
      </x:c>
      <x:c r="F67" s="57" t="n">
        <x:v>2.82</x:v>
      </x:c>
      <x:c r="G67" s="57" t="n">
        <x:v>0</x:v>
      </x:c>
      <x:c r="H67" s="57" t="n">
        <x:v>2.82</x:v>
      </x:c>
      <x:c r="I67" s="58" t="n">
        <x:f>IF(OR(D67="",H67="",D67&lt;=0),"",H67/D67*100)</x:f>
        <x:v>94</x:v>
      </x:c>
      <x:c r="J67" s="57" t="n">
        <x:v>0</x:v>
      </x:c>
      <x:c r="K67" s="57" t="n">
        <x:v>186</x:v>
      </x:c>
      <x:c r="L67" s="57" t="n">
        <x:v>0.45</x:v>
      </x:c>
      <x:c r="M67" s="57" t="n">
        <x:v>2.37</x:v>
      </x:c>
      <x:c r="N67" s="57" t="n">
        <x:v>79</x:v>
      </x:c>
      <x:c r="O67" s="45" t="str">
        <x:v>模拟回次；深度按原始沿孔深记录</x:v>
      </x:c>
      <x:c r="P67" s="49" t="str">
        <x:f>IF(OR(D67="",H67=""),"",IF(OR(D67&lt;=0,H67&lt;0),"核对输入",IF(H67&gt;D67,"请核实长度","")))</x:f>
      </x:c>
    </x:row>
    <x:row r="68">
      <x:c r="A68" s="49" t="n">
        <x:f>IF(B68="","",ROW()-5)</x:f>
        <x:v>63</x:v>
      </x:c>
      <x:c r="B68" s="54" t="str">
        <x:v>R063</x:v>
      </x:c>
      <x:c r="C68" s="57" t="n">
        <x:v>189</x:v>
      </x:c>
      <x:c r="D68" s="57" t="n">
        <x:v>3</x:v>
      </x:c>
      <x:c r="E68" s="54" t="str">
        <x:v>14</x:v>
      </x:c>
      <x:c r="F68" s="57" t="n">
        <x:v>2.9</x:v>
      </x:c>
      <x:c r="G68" s="57" t="n">
        <x:v>0</x:v>
      </x:c>
      <x:c r="H68" s="57" t="n">
        <x:v>2.9</x:v>
      </x:c>
      <x:c r="I68" s="58" t="n">
        <x:f>IF(OR(D68="",H68="",D68&lt;=0),"",H68/D68*100)</x:f>
        <x:v>96.66666666666667</x:v>
      </x:c>
      <x:c r="J68" s="57" t="n">
        <x:v>0</x:v>
      </x:c>
      <x:c r="K68" s="57" t="n">
        <x:v>189</x:v>
      </x:c>
      <x:c r="L68" s="57" t="n">
        <x:v>0.46</x:v>
      </x:c>
      <x:c r="M68" s="57" t="n">
        <x:v>2.44</x:v>
      </x:c>
      <x:c r="N68" s="57" t="n">
        <x:v>81.33</x:v>
      </x:c>
      <x:c r="O68" s="45" t="str">
        <x:v>模拟回次；深度按原始沿孔深记录</x:v>
      </x:c>
      <x:c r="P68" s="49" t="str">
        <x:f>IF(OR(D68="",H68=""),"",IF(OR(D68&lt;=0,H68&lt;0),"核对输入",IF(H68&gt;D68,"请核实长度","")))</x:f>
      </x:c>
    </x:row>
    <x:row r="69">
      <x:c r="A69" s="49" t="n">
        <x:f>IF(B69="","",ROW()-5)</x:f>
        <x:v>64</x:v>
      </x:c>
      <x:c r="B69" s="54" t="str">
        <x:v>R064</x:v>
      </x:c>
      <x:c r="C69" s="57" t="n">
        <x:v>192</x:v>
      </x:c>
      <x:c r="D69" s="57" t="n">
        <x:v>3</x:v>
      </x:c>
      <x:c r="E69" s="54" t="str">
        <x:v>8</x:v>
      </x:c>
      <x:c r="F69" s="57" t="n">
        <x:v>2.89</x:v>
      </x:c>
      <x:c r="G69" s="57" t="n">
        <x:v>0</x:v>
      </x:c>
      <x:c r="H69" s="57" t="n">
        <x:v>2.89</x:v>
      </x:c>
      <x:c r="I69" s="58" t="n">
        <x:f>IF(OR(D69="",H69="",D69&lt;=0),"",H69/D69*100)</x:f>
        <x:v>96.33333333333334</x:v>
      </x:c>
      <x:c r="J69" s="57" t="n">
        <x:v>0</x:v>
      </x:c>
      <x:c r="K69" s="57" t="n">
        <x:v>192</x:v>
      </x:c>
      <x:c r="L69" s="57" t="n">
        <x:v>0.45</x:v>
      </x:c>
      <x:c r="M69" s="57" t="n">
        <x:v>2.44</x:v>
      </x:c>
      <x:c r="N69" s="57" t="n">
        <x:v>81.33</x:v>
      </x:c>
      <x:c r="O69" s="45" t="str">
        <x:v>模拟回次；深度按原始沿孔深记录</x:v>
      </x:c>
      <x:c r="P69" s="49" t="str">
        <x:f>IF(OR(D69="",H69=""),"",IF(OR(D69&lt;=0,H69&lt;0),"核对输入",IF(H69&gt;D69,"请核实长度","")))</x:f>
      </x:c>
    </x:row>
    <x:row r="70">
      <x:c r="A70" s="49" t="n">
        <x:f>IF(B70="","",ROW()-5)</x:f>
        <x:v>65</x:v>
      </x:c>
      <x:c r="B70" s="54" t="str">
        <x:v>R065</x:v>
      </x:c>
      <x:c r="C70" s="57" t="n">
        <x:v>195</x:v>
      </x:c>
      <x:c r="D70" s="57" t="n">
        <x:v>3</x:v>
      </x:c>
      <x:c r="E70" s="54" t="str">
        <x:v>9</x:v>
      </x:c>
      <x:c r="F70" s="57" t="n">
        <x:v>2.77</x:v>
      </x:c>
      <x:c r="G70" s="57" t="n">
        <x:v>0</x:v>
      </x:c>
      <x:c r="H70" s="57" t="n">
        <x:v>2.77</x:v>
      </x:c>
      <x:c r="I70" s="58" t="n">
        <x:f>IF(OR(D70="",H70="",D70&lt;=0),"",H70/D70*100)</x:f>
        <x:v>92.33333333333333</x:v>
      </x:c>
      <x:c r="J70" s="57" t="n">
        <x:v>0</x:v>
      </x:c>
      <x:c r="K70" s="57" t="n">
        <x:v>195</x:v>
      </x:c>
      <x:c r="L70" s="57" t="n">
        <x:v>0.41</x:v>
      </x:c>
      <x:c r="M70" s="57" t="n">
        <x:v>2.36</x:v>
      </x:c>
      <x:c r="N70" s="57" t="n">
        <x:v>78.67</x:v>
      </x:c>
      <x:c r="O70" s="45" t="str">
        <x:v>模拟回次；深度按原始沿孔深记录</x:v>
      </x:c>
      <x:c r="P70" s="49" t="str">
        <x:f>IF(OR(D70="",H70=""),"",IF(OR(D70&lt;=0,H70&lt;0),"核对输入",IF(H70&gt;D70,"请核实长度","")))</x:f>
      </x:c>
    </x:row>
    <x:row r="71">
      <x:c r="A71" s="49" t="n">
        <x:f>IF(B71="","",ROW()-5)</x:f>
        <x:v>66</x:v>
      </x:c>
      <x:c r="B71" s="54" t="str">
        <x:v>R066</x:v>
      </x:c>
      <x:c r="C71" s="57" t="n">
        <x:v>198</x:v>
      </x:c>
      <x:c r="D71" s="57" t="n">
        <x:v>3</x:v>
      </x:c>
      <x:c r="E71" s="54" t="str">
        <x:v>10</x:v>
      </x:c>
      <x:c r="F71" s="57" t="n">
        <x:v>2.59</x:v>
      </x:c>
      <x:c r="G71" s="57" t="n">
        <x:v>0</x:v>
      </x:c>
      <x:c r="H71" s="57" t="n">
        <x:v>2.59</x:v>
      </x:c>
      <x:c r="I71" s="58" t="n">
        <x:f>IF(OR(D71="",H71="",D71&lt;=0),"",H71/D71*100)</x:f>
        <x:v>86.33333333333333</x:v>
      </x:c>
      <x:c r="J71" s="57" t="n">
        <x:v>0</x:v>
      </x:c>
      <x:c r="K71" s="57" t="n">
        <x:v>198</x:v>
      </x:c>
      <x:c r="L71" s="57" t="n">
        <x:v>0.37</x:v>
      </x:c>
      <x:c r="M71" s="57" t="n">
        <x:v>2.22</x:v>
      </x:c>
      <x:c r="N71" s="57" t="n">
        <x:v>74</x:v>
      </x:c>
      <x:c r="O71" s="45" t="str">
        <x:v>模拟回次；深度按原始沿孔深记录</x:v>
      </x:c>
      <x:c r="P71" s="49" t="str">
        <x:f>IF(OR(D71="",H71=""),"",IF(OR(D71&lt;=0,H71&lt;0),"核对输入",IF(H71&gt;D71,"请核实长度","")))</x:f>
      </x:c>
    </x:row>
    <x:row r="72">
      <x:c r="A72" s="49" t="n">
        <x:f>IF(B72="","",ROW()-5)</x:f>
        <x:v>67</x:v>
      </x:c>
      <x:c r="B72" s="54" t="str">
        <x:v>R067</x:v>
      </x:c>
      <x:c r="C72" s="57" t="n">
        <x:v>201</x:v>
      </x:c>
      <x:c r="D72" s="57" t="n">
        <x:v>3</x:v>
      </x:c>
      <x:c r="E72" s="54" t="str">
        <x:v>11</x:v>
      </x:c>
      <x:c r="F72" s="57" t="n">
        <x:v>2.43</x:v>
      </x:c>
      <x:c r="G72" s="57" t="n">
        <x:v>0</x:v>
      </x:c>
      <x:c r="H72" s="57" t="n">
        <x:v>2.43</x:v>
      </x:c>
      <x:c r="I72" s="58" t="n">
        <x:f>IF(OR(D72="",H72="",D72&lt;=0),"",H72/D72*100)</x:f>
        <x:v>81</x:v>
      </x:c>
      <x:c r="J72" s="57" t="n">
        <x:v>0</x:v>
      </x:c>
      <x:c r="K72" s="57" t="n">
        <x:v>201</x:v>
      </x:c>
      <x:c r="L72" s="57" t="n">
        <x:v>0.32</x:v>
      </x:c>
      <x:c r="M72" s="57" t="n">
        <x:v>2.11</x:v>
      </x:c>
      <x:c r="N72" s="57" t="n">
        <x:v>70.33</x:v>
      </x:c>
      <x:c r="O72" s="45" t="str">
        <x:v>模拟回次；深度按原始沿孔深记录</x:v>
      </x:c>
      <x:c r="P72" s="49" t="str">
        <x:f>IF(OR(D72="",H72=""),"",IF(OR(D72&lt;=0,H72&lt;0),"核对输入",IF(H72&gt;D72,"请核实长度","")))</x:f>
      </x:c>
    </x:row>
    <x:row r="73">
      <x:c r="A73" s="49" t="n">
        <x:f>IF(B73="","",ROW()-5)</x:f>
        <x:v>68</x:v>
      </x:c>
      <x:c r="B73" s="54" t="str">
        <x:v>R068</x:v>
      </x:c>
      <x:c r="C73" s="57" t="n">
        <x:v>204</x:v>
      </x:c>
      <x:c r="D73" s="57" t="n">
        <x:v>3</x:v>
      </x:c>
      <x:c r="E73" s="54" t="str">
        <x:v>12</x:v>
      </x:c>
      <x:c r="F73" s="57" t="n">
        <x:v>2.35</x:v>
      </x:c>
      <x:c r="G73" s="57" t="n">
        <x:v>0</x:v>
      </x:c>
      <x:c r="H73" s="57" t="n">
        <x:v>2.35</x:v>
      </x:c>
      <x:c r="I73" s="58" t="n">
        <x:f>IF(OR(D73="",H73="",D73&lt;=0),"",H73/D73*100)</x:f>
        <x:v>78.33333333333333</x:v>
      </x:c>
      <x:c r="J73" s="57" t="n">
        <x:v>0</x:v>
      </x:c>
      <x:c r="K73" s="57" t="n">
        <x:v>204</x:v>
      </x:c>
      <x:c r="L73" s="57" t="n">
        <x:v>0.3</x:v>
      </x:c>
      <x:c r="M73" s="57" t="n">
        <x:v>2.05</x:v>
      </x:c>
      <x:c r="N73" s="57" t="n">
        <x:v>68.33</x:v>
      </x:c>
      <x:c r="O73" s="45" t="str">
        <x:v>模拟回次；深度按原始沿孔深记录</x:v>
      </x:c>
      <x:c r="P73" s="49" t="str">
        <x:f>IF(OR(D73="",H73=""),"",IF(OR(D73&lt;=0,H73&lt;0),"核对输入",IF(H73&gt;D73,"请核实长度","")))</x:f>
      </x:c>
    </x:row>
    <x:row r="74">
      <x:c r="A74" s="49" t="n">
        <x:f>IF(B74="","",ROW()-5)</x:f>
        <x:v>69</x:v>
      </x:c>
      <x:c r="B74" s="54" t="str">
        <x:v>R069</x:v>
      </x:c>
      <x:c r="C74" s="57" t="n">
        <x:v>207</x:v>
      </x:c>
      <x:c r="D74" s="57" t="n">
        <x:v>3</x:v>
      </x:c>
      <x:c r="E74" s="54" t="str">
        <x:v>13</x:v>
      </x:c>
      <x:c r="F74" s="57" t="n">
        <x:v>2.37</x:v>
      </x:c>
      <x:c r="G74" s="57" t="n">
        <x:v>0</x:v>
      </x:c>
      <x:c r="H74" s="57" t="n">
        <x:v>2.37</x:v>
      </x:c>
      <x:c r="I74" s="58" t="n">
        <x:f>IF(OR(D74="",H74="",D74&lt;=0),"",H74/D74*100)</x:f>
        <x:v>79</x:v>
      </x:c>
      <x:c r="J74" s="57" t="n">
        <x:v>0</x:v>
      </x:c>
      <x:c r="K74" s="57" t="n">
        <x:v>207</x:v>
      </x:c>
      <x:c r="L74" s="57" t="n">
        <x:v>0.29</x:v>
      </x:c>
      <x:c r="M74" s="57" t="n">
        <x:v>2.08</x:v>
      </x:c>
      <x:c r="N74" s="57" t="n">
        <x:v>69.33</x:v>
      </x:c>
      <x:c r="O74" s="45" t="str">
        <x:v>模拟回次；深度按原始沿孔深记录</x:v>
      </x:c>
      <x:c r="P74" s="49" t="str">
        <x:f>IF(OR(D74="",H74=""),"",IF(OR(D74&lt;=0,H74&lt;0),"核对输入",IF(H74&gt;D74,"请核实长度","")))</x:f>
      </x:c>
    </x:row>
    <x:row r="75">
      <x:c r="A75" s="49" t="n">
        <x:f>IF(B75="","",ROW()-5)</x:f>
        <x:v>70</x:v>
      </x:c>
      <x:c r="B75" s="54" t="str">
        <x:v>R070</x:v>
      </x:c>
      <x:c r="C75" s="57" t="n">
        <x:v>210</x:v>
      </x:c>
      <x:c r="D75" s="57" t="n">
        <x:v>3</x:v>
      </x:c>
      <x:c r="E75" s="54" t="str">
        <x:v>14</x:v>
      </x:c>
      <x:c r="F75" s="57" t="n">
        <x:v>2.49</x:v>
      </x:c>
      <x:c r="G75" s="57" t="n">
        <x:v>0</x:v>
      </x:c>
      <x:c r="H75" s="57" t="n">
        <x:v>2.49</x:v>
      </x:c>
      <x:c r="I75" s="58" t="n">
        <x:f>IF(OR(D75="",H75="",D75&lt;=0),"",H75/D75*100)</x:f>
        <x:v>83</x:v>
      </x:c>
      <x:c r="J75" s="57" t="n">
        <x:v>0</x:v>
      </x:c>
      <x:c r="K75" s="57" t="n">
        <x:v>210</x:v>
      </x:c>
      <x:c r="L75" s="57" t="n">
        <x:v>0.3</x:v>
      </x:c>
      <x:c r="M75" s="57" t="n">
        <x:v>2.19</x:v>
      </x:c>
      <x:c r="N75" s="57" t="n">
        <x:v>73</x:v>
      </x:c>
      <x:c r="O75" s="45" t="str">
        <x:v>模拟回次；深度按原始沿孔深记录</x:v>
      </x:c>
      <x:c r="P75" s="49" t="str">
        <x:f>IF(OR(D75="",H75=""),"",IF(OR(D75&lt;=0,H75&lt;0),"核对输入",IF(H75&gt;D75,"请核实长度","")))</x:f>
      </x:c>
    </x:row>
    <x:row r="76">
      <x:c r="A76" s="49" t="n">
        <x:f>IF(B76="","",ROW()-5)</x:f>
        <x:v>71</x:v>
      </x:c>
      <x:c r="B76" s="54" t="str">
        <x:v>R071</x:v>
      </x:c>
      <x:c r="C76" s="57" t="n">
        <x:v>213</x:v>
      </x:c>
      <x:c r="D76" s="57" t="n">
        <x:v>3</x:v>
      </x:c>
      <x:c r="E76" s="54" t="str">
        <x:v>8</x:v>
      </x:c>
      <x:c r="F76" s="57" t="n">
        <x:v>2.66</x:v>
      </x:c>
      <x:c r="G76" s="57" t="n">
        <x:v>0</x:v>
      </x:c>
      <x:c r="H76" s="57" t="n">
        <x:v>2.66</x:v>
      </x:c>
      <x:c r="I76" s="58" t="n">
        <x:f>IF(OR(D76="",H76="",D76&lt;=0),"",H76/D76*100)</x:f>
        <x:v>88.66666666666667</x:v>
      </x:c>
      <x:c r="J76" s="57" t="n">
        <x:v>0</x:v>
      </x:c>
      <x:c r="K76" s="57" t="n">
        <x:v>213</x:v>
      </x:c>
      <x:c r="L76" s="57" t="n">
        <x:v>0.32</x:v>
      </x:c>
      <x:c r="M76" s="57" t="n">
        <x:v>2.34</x:v>
      </x:c>
      <x:c r="N76" s="57" t="n">
        <x:v>78</x:v>
      </x:c>
      <x:c r="O76" s="45" t="str">
        <x:v>模拟回次；深度按原始沿孔深记录</x:v>
      </x:c>
      <x:c r="P76" s="49" t="str">
        <x:f>IF(OR(D76="",H76=""),"",IF(OR(D76&lt;=0,H76&lt;0),"核对输入",IF(H76&gt;D76,"请核实长度","")))</x:f>
      </x:c>
    </x:row>
    <x:row r="77">
      <x:c r="A77" s="49" t="n">
        <x:f>IF(B77="","",ROW()-5)</x:f>
        <x:v>72</x:v>
      </x:c>
      <x:c r="B77" s="54" t="str">
        <x:v>R072</x:v>
      </x:c>
      <x:c r="C77" s="57" t="n">
        <x:v>216</x:v>
      </x:c>
      <x:c r="D77" s="57" t="n">
        <x:v>3</x:v>
      </x:c>
      <x:c r="E77" s="54" t="str">
        <x:v>9</x:v>
      </x:c>
      <x:c r="F77" s="57" t="n">
        <x:v>2.82</x:v>
      </x:c>
      <x:c r="G77" s="57" t="n">
        <x:v>0</x:v>
      </x:c>
      <x:c r="H77" s="57" t="n">
        <x:v>2.82</x:v>
      </x:c>
      <x:c r="I77" s="58" t="n">
        <x:f>IF(OR(D77="",H77="",D77&lt;=0),"",H77/D77*100)</x:f>
        <x:v>94</x:v>
      </x:c>
      <x:c r="J77" s="57" t="n">
        <x:v>0</x:v>
      </x:c>
      <x:c r="K77" s="57" t="n">
        <x:v>216</x:v>
      </x:c>
      <x:c r="L77" s="57" t="n">
        <x:v>0.36</x:v>
      </x:c>
      <x:c r="M77" s="57" t="n">
        <x:v>2.46</x:v>
      </x:c>
      <x:c r="N77" s="57" t="n">
        <x:v>82</x:v>
      </x:c>
      <x:c r="O77" s="45" t="str">
        <x:v>模拟回次；深度按原始沿孔深记录</x:v>
      </x:c>
      <x:c r="P77" s="49" t="str">
        <x:f>IF(OR(D77="",H77=""),"",IF(OR(D77&lt;=0,H77&lt;0),"核对输入",IF(H77&gt;D77,"请核实长度","")))</x:f>
      </x:c>
    </x:row>
    <x:row r="78">
      <x:c r="A78" s="49" t="n">
        <x:f>IF(B78="","",ROW()-5)</x:f>
        <x:v>73</x:v>
      </x:c>
      <x:c r="B78" s="54" t="str">
        <x:v>R073</x:v>
      </x:c>
      <x:c r="C78" s="57" t="n">
        <x:v>219</x:v>
      </x:c>
      <x:c r="D78" s="57" t="n">
        <x:v>3</x:v>
      </x:c>
      <x:c r="E78" s="54" t="str">
        <x:v>10</x:v>
      </x:c>
      <x:c r="F78" s="57" t="n">
        <x:v>2.9</x:v>
      </x:c>
      <x:c r="G78" s="57" t="n">
        <x:v>0</x:v>
      </x:c>
      <x:c r="H78" s="57" t="n">
        <x:v>2.9</x:v>
      </x:c>
      <x:c r="I78" s="58" t="n">
        <x:f>IF(OR(D78="",H78="",D78&lt;=0),"",H78/D78*100)</x:f>
        <x:v>96.66666666666667</x:v>
      </x:c>
      <x:c r="J78" s="57" t="n">
        <x:v>0</x:v>
      </x:c>
      <x:c r="K78" s="57" t="n">
        <x:v>219</x:v>
      </x:c>
      <x:c r="L78" s="57" t="n">
        <x:v>0.39</x:v>
      </x:c>
      <x:c r="M78" s="57" t="n">
        <x:v>2.51</x:v>
      </x:c>
      <x:c r="N78" s="57" t="n">
        <x:v>83.67</x:v>
      </x:c>
      <x:c r="O78" s="45" t="str">
        <x:v>模拟回次；深度按原始沿孔深记录</x:v>
      </x:c>
      <x:c r="P78" s="49" t="str">
        <x:f>IF(OR(D78="",H78=""),"",IF(OR(D78&lt;=0,H78&lt;0),"核对输入",IF(H78&gt;D78,"请核实长度","")))</x:f>
      </x:c>
    </x:row>
    <x:row r="79">
      <x:c r="A79" s="49" t="n">
        <x:f>IF(B79="","",ROW()-5)</x:f>
        <x:v>74</x:v>
      </x:c>
      <x:c r="B79" s="54" t="str">
        <x:v>R074</x:v>
      </x:c>
      <x:c r="C79" s="57" t="n">
        <x:v>222</x:v>
      </x:c>
      <x:c r="D79" s="57" t="n">
        <x:v>3</x:v>
      </x:c>
      <x:c r="E79" s="54" t="str">
        <x:v>11</x:v>
      </x:c>
      <x:c r="F79" s="57" t="n">
        <x:v>2.88</x:v>
      </x:c>
      <x:c r="G79" s="57" t="n">
        <x:v>0</x:v>
      </x:c>
      <x:c r="H79" s="57" t="n">
        <x:v>2.88</x:v>
      </x:c>
      <x:c r="I79" s="58" t="n">
        <x:f>IF(OR(D79="",H79="",D79&lt;=0),"",H79/D79*100)</x:f>
        <x:v>96</x:v>
      </x:c>
      <x:c r="J79" s="57" t="n">
        <x:v>0</x:v>
      </x:c>
      <x:c r="K79" s="57" t="n">
        <x:v>222</x:v>
      </x:c>
      <x:c r="L79" s="57" t="n">
        <x:v>0.41</x:v>
      </x:c>
      <x:c r="M79" s="57" t="n">
        <x:v>2.47</x:v>
      </x:c>
      <x:c r="N79" s="57" t="n">
        <x:v>82.33</x:v>
      </x:c>
      <x:c r="O79" s="45" t="str">
        <x:v>模拟回次；深度按原始沿孔深记录</x:v>
      </x:c>
      <x:c r="P79" s="49" t="str">
        <x:f>IF(OR(D79="",H79=""),"",IF(OR(D79&lt;=0,H79&lt;0),"核对输入",IF(H79&gt;D79,"请核实长度","")))</x:f>
      </x:c>
    </x:row>
    <x:row r="80">
      <x:c r="A80" s="49" t="n">
        <x:f>IF(B80="","",ROW()-5)</x:f>
        <x:v>75</x:v>
      </x:c>
      <x:c r="B80" s="54" t="str">
        <x:v>R075</x:v>
      </x:c>
      <x:c r="C80" s="57" t="n">
        <x:v>225</x:v>
      </x:c>
      <x:c r="D80" s="57" t="n">
        <x:v>3</x:v>
      </x:c>
      <x:c r="E80" s="54" t="str">
        <x:v>12</x:v>
      </x:c>
      <x:c r="F80" s="57" t="n">
        <x:v>2.76</x:v>
      </x:c>
      <x:c r="G80" s="57" t="n">
        <x:v>0</x:v>
      </x:c>
      <x:c r="H80" s="57" t="n">
        <x:v>2.76</x:v>
      </x:c>
      <x:c r="I80" s="58" t="n">
        <x:f>IF(OR(D80="",H80="",D80&lt;=0),"",H80/D80*100)</x:f>
        <x:v>92</x:v>
      </x:c>
      <x:c r="J80" s="57" t="n">
        <x:v>0</x:v>
      </x:c>
      <x:c r="K80" s="57" t="n">
        <x:v>225</x:v>
      </x:c>
      <x:c r="L80" s="57" t="n">
        <x:v>0.41</x:v>
      </x:c>
      <x:c r="M80" s="57" t="n">
        <x:v>2.35</x:v>
      </x:c>
      <x:c r="N80" s="57" t="n">
        <x:v>78.33</x:v>
      </x:c>
      <x:c r="O80" s="45" t="str">
        <x:v>模拟回次；深度按原始沿孔深记录</x:v>
      </x:c>
      <x:c r="P80" s="49" t="str">
        <x:f>IF(OR(D80="",H80=""),"",IF(OR(D80&lt;=0,H80&lt;0),"核对输入",IF(H80&gt;D80,"请核实长度","")))</x:f>
      </x:c>
    </x:row>
    <x:row r="81">
      <x:c r="A81" s="49" t="n">
        <x:f>IF(B81="","",ROW()-5)</x:f>
        <x:v>76</x:v>
      </x:c>
      <x:c r="B81" s="54" t="str">
        <x:v>R076</x:v>
      </x:c>
      <x:c r="C81" s="57" t="n">
        <x:v>228</x:v>
      </x:c>
      <x:c r="D81" s="57" t="n">
        <x:v>3</x:v>
      </x:c>
      <x:c r="E81" s="54" t="str">
        <x:v>13</x:v>
      </x:c>
      <x:c r="F81" s="57" t="n">
        <x:v>2.59</x:v>
      </x:c>
      <x:c r="G81" s="57" t="n">
        <x:v>0</x:v>
      </x:c>
      <x:c r="H81" s="57" t="n">
        <x:v>2.59</x:v>
      </x:c>
      <x:c r="I81" s="58" t="n">
        <x:f>IF(OR(D81="",H81="",D81&lt;=0),"",H81/D81*100)</x:f>
        <x:v>86.33333333333333</x:v>
      </x:c>
      <x:c r="J81" s="57" t="n">
        <x:v>0</x:v>
      </x:c>
      <x:c r="K81" s="57" t="n">
        <x:v>228</x:v>
      </x:c>
      <x:c r="L81" s="57" t="n">
        <x:v>0.4</x:v>
      </x:c>
      <x:c r="M81" s="57" t="n">
        <x:v>2.19</x:v>
      </x:c>
      <x:c r="N81" s="57" t="n">
        <x:v>73</x:v>
      </x:c>
      <x:c r="O81" s="45" t="str">
        <x:v>模拟回次；深度按原始沿孔深记录</x:v>
      </x:c>
      <x:c r="P81" s="49" t="str">
        <x:f>IF(OR(D81="",H81=""),"",IF(OR(D81&lt;=0,H81&lt;0),"核对输入",IF(H81&gt;D81,"请核实长度","")))</x:f>
      </x:c>
    </x:row>
    <x:row r="82">
      <x:c r="A82" s="49" t="n">
        <x:f>IF(B82="","",ROW()-5)</x:f>
        <x:v>77</x:v>
      </x:c>
      <x:c r="B82" s="54" t="str">
        <x:v>R077</x:v>
      </x:c>
      <x:c r="C82" s="57" t="n">
        <x:v>231</x:v>
      </x:c>
      <x:c r="D82" s="57" t="n">
        <x:v>3</x:v>
      </x:c>
      <x:c r="E82" s="54" t="str">
        <x:v>14</x:v>
      </x:c>
      <x:c r="F82" s="57" t="n">
        <x:v>2.43</x:v>
      </x:c>
      <x:c r="G82" s="57" t="n">
        <x:v>0</x:v>
      </x:c>
      <x:c r="H82" s="57" t="n">
        <x:v>2.43</x:v>
      </x:c>
      <x:c r="I82" s="58" t="n">
        <x:f>IF(OR(D82="",H82="",D82&lt;=0),"",H82/D82*100)</x:f>
        <x:v>81</x:v>
      </x:c>
      <x:c r="J82" s="57" t="n">
        <x:v>0</x:v>
      </x:c>
      <x:c r="K82" s="57" t="n">
        <x:v>231</x:v>
      </x:c>
      <x:c r="L82" s="57" t="n">
        <x:v>0.39</x:v>
      </x:c>
      <x:c r="M82" s="57" t="n">
        <x:v>2.04</x:v>
      </x:c>
      <x:c r="N82" s="57" t="n">
        <x:v>68</x:v>
      </x:c>
      <x:c r="O82" s="45" t="str">
        <x:v>模拟回次；深度按原始沿孔深记录</x:v>
      </x:c>
      <x:c r="P82" s="49" t="str">
        <x:f>IF(OR(D82="",H82=""),"",IF(OR(D82&lt;=0,H82&lt;0),"核对输入",IF(H82&gt;D82,"请核实长度","")))</x:f>
      </x:c>
    </x:row>
    <x:row r="83">
      <x:c r="A83" s="49" t="n">
        <x:f>IF(B83="","",ROW()-5)</x:f>
        <x:v>78</x:v>
      </x:c>
      <x:c r="B83" s="54" t="str">
        <x:v>R078</x:v>
      </x:c>
      <x:c r="C83" s="57" t="n">
        <x:v>234</x:v>
      </x:c>
      <x:c r="D83" s="57" t="n">
        <x:v>3</x:v>
      </x:c>
      <x:c r="E83" s="54" t="str">
        <x:v>8</x:v>
      </x:c>
      <x:c r="F83" s="57" t="n">
        <x:v>2.34</x:v>
      </x:c>
      <x:c r="G83" s="57" t="n">
        <x:v>0</x:v>
      </x:c>
      <x:c r="H83" s="57" t="n">
        <x:v>2.34</x:v>
      </x:c>
      <x:c r="I83" s="58" t="n">
        <x:f>IF(OR(D83="",H83="",D83&lt;=0),"",H83/D83*100)</x:f>
        <x:v>77.99999999999999</x:v>
      </x:c>
      <x:c r="J83" s="57" t="n">
        <x:v>0</x:v>
      </x:c>
      <x:c r="K83" s="57" t="n">
        <x:v>234</x:v>
      </x:c>
      <x:c r="L83" s="57" t="n">
        <x:v>0.37</x:v>
      </x:c>
      <x:c r="M83" s="57" t="n">
        <x:v>1.97</x:v>
      </x:c>
      <x:c r="N83" s="57" t="n">
        <x:v>65.67</x:v>
      </x:c>
      <x:c r="O83" s="45" t="str">
        <x:v>模拟回次；深度按原始沿孔深记录</x:v>
      </x:c>
      <x:c r="P83" s="49" t="str">
        <x:f>IF(OR(D83="",H83=""),"",IF(OR(D83&lt;=0,H83&lt;0),"核对输入",IF(H83&gt;D83,"请核实长度","")))</x:f>
      </x:c>
    </x:row>
    <x:row r="84">
      <x:c r="A84" s="49" t="n">
        <x:f>IF(B84="","",ROW()-5)</x:f>
        <x:v>79</x:v>
      </x:c>
      <x:c r="B84" s="54" t="str">
        <x:v>R079</x:v>
      </x:c>
      <x:c r="C84" s="57" t="n">
        <x:v>237</x:v>
      </x:c>
      <x:c r="D84" s="57" t="n">
        <x:v>3</x:v>
      </x:c>
      <x:c r="E84" s="54" t="str">
        <x:v>9</x:v>
      </x:c>
      <x:c r="F84" s="57" t="n">
        <x:v>2.37</x:v>
      </x:c>
      <x:c r="G84" s="57" t="n">
        <x:v>0</x:v>
      </x:c>
      <x:c r="H84" s="57" t="n">
        <x:v>2.37</x:v>
      </x:c>
      <x:c r="I84" s="58" t="n">
        <x:f>IF(OR(D84="",H84="",D84&lt;=0),"",H84/D84*100)</x:f>
        <x:v>79</x:v>
      </x:c>
      <x:c r="J84" s="57" t="n">
        <x:v>0</x:v>
      </x:c>
      <x:c r="K84" s="57" t="n">
        <x:v>237</x:v>
      </x:c>
      <x:c r="L84" s="57" t="n">
        <x:v>0.37</x:v>
      </x:c>
      <x:c r="M84" s="57" t="n">
        <x:v>2</x:v>
      </x:c>
      <x:c r="N84" s="57" t="n">
        <x:v>66.67</x:v>
      </x:c>
      <x:c r="O84" s="45" t="str">
        <x:v>模拟回次；深度按原始沿孔深记录</x:v>
      </x:c>
      <x:c r="P84" s="49" t="str">
        <x:f>IF(OR(D84="",H84=""),"",IF(OR(D84&lt;=0,H84&lt;0),"核对输入",IF(H84&gt;D84,"请核实长度","")))</x:f>
      </x:c>
    </x:row>
    <x:row r="85">
      <x:c r="A85" s="49" t="n">
        <x:f>IF(B85="","",ROW()-5)</x:f>
        <x:v>80</x:v>
      </x:c>
      <x:c r="B85" s="54" t="str">
        <x:v>R080</x:v>
      </x:c>
      <x:c r="C85" s="57" t="n">
        <x:v>240</x:v>
      </x:c>
      <x:c r="D85" s="57" t="n">
        <x:v>3</x:v>
      </x:c>
      <x:c r="E85" s="54" t="str">
        <x:v>10</x:v>
      </x:c>
      <x:c r="F85" s="57" t="n">
        <x:v>2.49</x:v>
      </x:c>
      <x:c r="G85" s="57" t="n">
        <x:v>0</x:v>
      </x:c>
      <x:c r="H85" s="57" t="n">
        <x:v>2.49</x:v>
      </x:c>
      <x:c r="I85" s="58" t="n">
        <x:f>IF(OR(D85="",H85="",D85&lt;=0),"",H85/D85*100)</x:f>
        <x:v>83</x:v>
      </x:c>
      <x:c r="J85" s="57" t="n">
        <x:v>0</x:v>
      </x:c>
      <x:c r="K85" s="57" t="n">
        <x:v>240</x:v>
      </x:c>
      <x:c r="L85" s="57" t="n">
        <x:v>0.38</x:v>
      </x:c>
      <x:c r="M85" s="57" t="n">
        <x:v>2.11</x:v>
      </x:c>
      <x:c r="N85" s="57" t="n">
        <x:v>70.33</x:v>
      </x:c>
      <x:c r="O85" s="45" t="str">
        <x:v>模拟回次；深度按原始沿孔深记录</x:v>
      </x:c>
      <x:c r="P85" s="49" t="str">
        <x:f>IF(OR(D85="",H85=""),"",IF(OR(D85&lt;=0,H85&lt;0),"核对输入",IF(H85&gt;D85,"请核实长度","")))</x:f>
      </x:c>
    </x:row>
    <x:row r="86">
      <x:c r="A86" s="49" t="n">
        <x:f>IF(B86="","",ROW()-5)</x:f>
        <x:v>81</x:v>
      </x:c>
      <x:c r="B86" s="54" t="str">
        <x:v>R081</x:v>
      </x:c>
      <x:c r="C86" s="57" t="n">
        <x:v>243</x:v>
      </x:c>
      <x:c r="D86" s="57" t="n">
        <x:v>3</x:v>
      </x:c>
      <x:c r="E86" s="54" t="str">
        <x:v>11</x:v>
      </x:c>
      <x:c r="F86" s="57" t="n">
        <x:v>2.66</x:v>
      </x:c>
      <x:c r="G86" s="57" t="n">
        <x:v>0</x:v>
      </x:c>
      <x:c r="H86" s="57" t="n">
        <x:v>2.66</x:v>
      </x:c>
      <x:c r="I86" s="58" t="n">
        <x:f>IF(OR(D86="",H86="",D86&lt;=0),"",H86/D86*100)</x:f>
        <x:v>88.66666666666667</x:v>
      </x:c>
      <x:c r="J86" s="57" t="n">
        <x:v>0</x:v>
      </x:c>
      <x:c r="K86" s="57" t="n">
        <x:v>243</x:v>
      </x:c>
      <x:c r="L86" s="57" t="n">
        <x:v>0.38</x:v>
      </x:c>
      <x:c r="M86" s="57" t="n">
        <x:v>2.28</x:v>
      </x:c>
      <x:c r="N86" s="57" t="n">
        <x:v>76</x:v>
      </x:c>
      <x:c r="O86" s="45" t="str">
        <x:v>模拟回次；深度按原始沿孔深记录</x:v>
      </x:c>
      <x:c r="P86" s="49" t="str">
        <x:f>IF(OR(D86="",H86=""),"",IF(OR(D86&lt;=0,H86&lt;0),"核对输入",IF(H86&gt;D86,"请核实长度","")))</x:f>
      </x:c>
    </x:row>
    <x:row r="87">
      <x:c r="A87" s="49" t="n">
        <x:f>IF(B87="","",ROW()-5)</x:f>
        <x:v>82</x:v>
      </x:c>
      <x:c r="B87" s="54" t="str">
        <x:v>R082</x:v>
      </x:c>
      <x:c r="C87" s="57" t="n">
        <x:v>246</x:v>
      </x:c>
      <x:c r="D87" s="57" t="n">
        <x:v>3</x:v>
      </x:c>
      <x:c r="E87" s="54" t="str">
        <x:v>12</x:v>
      </x:c>
      <x:c r="F87" s="57" t="n">
        <x:v>2.82</x:v>
      </x:c>
      <x:c r="G87" s="57" t="n">
        <x:v>0</x:v>
      </x:c>
      <x:c r="H87" s="57" t="n">
        <x:v>2.82</x:v>
      </x:c>
      <x:c r="I87" s="58" t="n">
        <x:f>IF(OR(D87="",H87="",D87&lt;=0),"",H87/D87*100)</x:f>
        <x:v>94</x:v>
      </x:c>
      <x:c r="J87" s="57" t="n">
        <x:v>0</x:v>
      </x:c>
      <x:c r="K87" s="57" t="n">
        <x:v>246</x:v>
      </x:c>
      <x:c r="L87" s="57" t="n">
        <x:v>0.38</x:v>
      </x:c>
      <x:c r="M87" s="57" t="n">
        <x:v>2.44</x:v>
      </x:c>
      <x:c r="N87" s="57" t="n">
        <x:v>81.33</x:v>
      </x:c>
      <x:c r="O87" s="45" t="str">
        <x:v>模拟回次；深度按原始沿孔深记录</x:v>
      </x:c>
      <x:c r="P87" s="49" t="str">
        <x:f>IF(OR(D87="",H87=""),"",IF(OR(D87&lt;=0,H87&lt;0),"核对输入",IF(H87&gt;D87,"请核实长度","")))</x:f>
      </x:c>
    </x:row>
    <x:row r="88">
      <x:c r="A88" s="49" t="n">
        <x:f>IF(B88="","",ROW()-5)</x:f>
        <x:v>83</x:v>
      </x:c>
      <x:c r="B88" s="54" t="str">
        <x:v>R083</x:v>
      </x:c>
      <x:c r="C88" s="57" t="n">
        <x:v>249</x:v>
      </x:c>
      <x:c r="D88" s="57" t="n">
        <x:v>3</x:v>
      </x:c>
      <x:c r="E88" s="54" t="str">
        <x:v>13</x:v>
      </x:c>
      <x:c r="F88" s="57" t="n">
        <x:v>2.91</x:v>
      </x:c>
      <x:c r="G88" s="57" t="n">
        <x:v>0</x:v>
      </x:c>
      <x:c r="H88" s="57" t="n">
        <x:v>2.91</x:v>
      </x:c>
      <x:c r="I88" s="58" t="n">
        <x:f>IF(OR(D88="",H88="",D88&lt;=0),"",H88/D88*100)</x:f>
        <x:v>97.00000000000001</x:v>
      </x:c>
      <x:c r="J88" s="57" t="n">
        <x:v>0</x:v>
      </x:c>
      <x:c r="K88" s="57" t="n">
        <x:v>249</x:v>
      </x:c>
      <x:c r="L88" s="57" t="n">
        <x:v>0.37</x:v>
      </x:c>
      <x:c r="M88" s="57" t="n">
        <x:v>2.54</x:v>
      </x:c>
      <x:c r="N88" s="57" t="n">
        <x:v>84.67</x:v>
      </x:c>
      <x:c r="O88" s="45" t="str">
        <x:v>模拟回次；深度按原始沿孔深记录</x:v>
      </x:c>
      <x:c r="P88" s="49" t="str">
        <x:f>IF(OR(D88="",H88=""),"",IF(OR(D88&lt;=0,H88&lt;0),"核对输入",IF(H88&gt;D88,"请核实长度","")))</x:f>
      </x:c>
    </x:row>
    <x:row r="89">
      <x:c r="A89" s="49" t="n">
        <x:f>IF(B89="","",ROW()-5)</x:f>
        <x:v>84</x:v>
      </x:c>
      <x:c r="B89" s="54" t="str">
        <x:v>R084</x:v>
      </x:c>
      <x:c r="C89" s="57" t="n">
        <x:v>252</x:v>
      </x:c>
      <x:c r="D89" s="57" t="n">
        <x:v>3</x:v>
      </x:c>
      <x:c r="E89" s="54" t="str">
        <x:v>14</x:v>
      </x:c>
      <x:c r="F89" s="57" t="n">
        <x:v>2.88</x:v>
      </x:c>
      <x:c r="G89" s="57" t="n">
        <x:v>0</x:v>
      </x:c>
      <x:c r="H89" s="57" t="n">
        <x:v>2.88</x:v>
      </x:c>
      <x:c r="I89" s="58" t="n">
        <x:f>IF(OR(D89="",H89="",D89&lt;=0),"",H89/D89*100)</x:f>
        <x:v>96</x:v>
      </x:c>
      <x:c r="J89" s="57" t="n">
        <x:v>0</x:v>
      </x:c>
      <x:c r="K89" s="57" t="n">
        <x:v>252</x:v>
      </x:c>
      <x:c r="L89" s="57" t="n">
        <x:v>0.35</x:v>
      </x:c>
      <x:c r="M89" s="57" t="n">
        <x:v>2.53</x:v>
      </x:c>
      <x:c r="N89" s="57" t="n">
        <x:v>84.33</x:v>
      </x:c>
      <x:c r="O89" s="45" t="str">
        <x:v>模拟回次；深度按原始沿孔深记录</x:v>
      </x:c>
      <x:c r="P89" s="49" t="str">
        <x:f>IF(OR(D89="",H89=""),"",IF(OR(D89&lt;=0,H89&lt;0),"核对输入",IF(H89&gt;D89,"请核实长度","")))</x:f>
      </x:c>
    </x:row>
    <x:row r="90">
      <x:c r="A90" s="49" t="n">
        <x:f>IF(B90="","",ROW()-5)</x:f>
        <x:v>85</x:v>
      </x:c>
      <x:c r="B90" s="54" t="str">
        <x:v>R085</x:v>
      </x:c>
      <x:c r="C90" s="57" t="n">
        <x:v>255</x:v>
      </x:c>
      <x:c r="D90" s="57" t="n">
        <x:v>3</x:v>
      </x:c>
      <x:c r="E90" s="54" t="str">
        <x:v>8</x:v>
      </x:c>
      <x:c r="F90" s="57" t="n">
        <x:v>2.76</x:v>
      </x:c>
      <x:c r="G90" s="57" t="n">
        <x:v>0</x:v>
      </x:c>
      <x:c r="H90" s="57" t="n">
        <x:v>2.76</x:v>
      </x:c>
      <x:c r="I90" s="58" t="n">
        <x:f>IF(OR(D90="",H90="",D90&lt;=0),"",H90/D90*100)</x:f>
        <x:v>92</x:v>
      </x:c>
      <x:c r="J90" s="57" t="n">
        <x:v>0</x:v>
      </x:c>
      <x:c r="K90" s="57" t="n">
        <x:v>255</x:v>
      </x:c>
      <x:c r="L90" s="57" t="n">
        <x:v>0.33</x:v>
      </x:c>
      <x:c r="M90" s="57" t="n">
        <x:v>2.43</x:v>
      </x:c>
      <x:c r="N90" s="57" t="n">
        <x:v>81</x:v>
      </x:c>
      <x:c r="O90" s="45" t="str">
        <x:v>模拟回次；深度按原始沿孔深记录</x:v>
      </x:c>
      <x:c r="P90" s="49" t="str">
        <x:f>IF(OR(D90="",H90=""),"",IF(OR(D90&lt;=0,H90&lt;0),"核对输入",IF(H90&gt;D90,"请核实长度","")))</x:f>
      </x:c>
    </x:row>
    <x:row r="91">
      <x:c r="A91" s="49" t="n">
        <x:f>IF(B91="","",ROW()-5)</x:f>
        <x:v>86</x:v>
      </x:c>
      <x:c r="B91" s="54" t="str">
        <x:v>R086</x:v>
      </x:c>
      <x:c r="C91" s="57" t="n">
        <x:v>258</x:v>
      </x:c>
      <x:c r="D91" s="57" t="n">
        <x:v>3</x:v>
      </x:c>
      <x:c r="E91" s="54" t="str">
        <x:v>9</x:v>
      </x:c>
      <x:c r="F91" s="57" t="n">
        <x:v>2.58</x:v>
      </x:c>
      <x:c r="G91" s="57" t="n">
        <x:v>0</x:v>
      </x:c>
      <x:c r="H91" s="57" t="n">
        <x:v>2.58</x:v>
      </x:c>
      <x:c r="I91" s="58" t="n">
        <x:f>IF(OR(D91="",H91="",D91&lt;=0),"",H91/D91*100)</x:f>
        <x:v>86</x:v>
      </x:c>
      <x:c r="J91" s="57" t="n">
        <x:v>0</x:v>
      </x:c>
      <x:c r="K91" s="57" t="n">
        <x:v>258</x:v>
      </x:c>
      <x:c r="L91" s="57" t="n">
        <x:v>0.31</x:v>
      </x:c>
      <x:c r="M91" s="57" t="n">
        <x:v>2.27</x:v>
      </x:c>
      <x:c r="N91" s="57" t="n">
        <x:v>75.67</x:v>
      </x:c>
      <x:c r="O91" s="45" t="str">
        <x:v>模拟回次；深度按原始沿孔深记录</x:v>
      </x:c>
      <x:c r="P91" s="49" t="str">
        <x:f>IF(OR(D91="",H91=""),"",IF(OR(D91&lt;=0,H91&lt;0),"核对输入",IF(H91&gt;D91,"请核实长度","")))</x:f>
      </x:c>
    </x:row>
    <x:row r="92">
      <x:c r="A92" s="49" t="n">
        <x:f>IF(B92="","",ROW()-5)</x:f>
        <x:v>87</x:v>
      </x:c>
      <x:c r="B92" s="54" t="str">
        <x:v>R087</x:v>
      </x:c>
      <x:c r="C92" s="57" t="n">
        <x:v>261</x:v>
      </x:c>
      <x:c r="D92" s="57" t="n">
        <x:v>3</x:v>
      </x:c>
      <x:c r="E92" s="54" t="str">
        <x:v>10</x:v>
      </x:c>
      <x:c r="F92" s="57" t="n">
        <x:v>2.43</x:v>
      </x:c>
      <x:c r="G92" s="57" t="n">
        <x:v>0</x:v>
      </x:c>
      <x:c r="H92" s="57" t="n">
        <x:v>2.43</x:v>
      </x:c>
      <x:c r="I92" s="58" t="n">
        <x:f>IF(OR(D92="",H92="",D92&lt;=0),"",H92/D92*100)</x:f>
        <x:v>81</x:v>
      </x:c>
      <x:c r="J92" s="57" t="n">
        <x:v>0</x:v>
      </x:c>
      <x:c r="K92" s="57" t="n">
        <x:v>261</x:v>
      </x:c>
      <x:c r="L92" s="57" t="n">
        <x:v>0.3</x:v>
      </x:c>
      <x:c r="M92" s="57" t="n">
        <x:v>2.13</x:v>
      </x:c>
      <x:c r="N92" s="57" t="n">
        <x:v>71</x:v>
      </x:c>
      <x:c r="O92" s="45" t="str">
        <x:v>模拟回次；深度按原始沿孔深记录</x:v>
      </x:c>
      <x:c r="P92" s="49" t="str">
        <x:f>IF(OR(D92="",H92=""),"",IF(OR(D92&lt;=0,H92&lt;0),"核对输入",IF(H92&gt;D92,"请核实长度","")))</x:f>
      </x:c>
    </x:row>
    <x:row r="93">
      <x:c r="A93" s="49" t="n">
        <x:f>IF(B93="","",ROW()-5)</x:f>
        <x:v>88</x:v>
      </x:c>
      <x:c r="B93" s="54" t="str">
        <x:v>R088</x:v>
      </x:c>
      <x:c r="C93" s="57" t="n">
        <x:v>264</x:v>
      </x:c>
      <x:c r="D93" s="57" t="n">
        <x:v>3</x:v>
      </x:c>
      <x:c r="E93" s="54" t="str">
        <x:v>11</x:v>
      </x:c>
      <x:c r="F93" s="57" t="n">
        <x:v>2.34</x:v>
      </x:c>
      <x:c r="G93" s="57" t="n">
        <x:v>0</x:v>
      </x:c>
      <x:c r="H93" s="57" t="n">
        <x:v>2.34</x:v>
      </x:c>
      <x:c r="I93" s="58" t="n">
        <x:f>IF(OR(D93="",H93="",D93&lt;=0),"",H93/D93*100)</x:f>
        <x:v>77.99999999999999</x:v>
      </x:c>
      <x:c r="J93" s="57" t="n">
        <x:v>0</x:v>
      </x:c>
      <x:c r="K93" s="57" t="n">
        <x:v>264</x:v>
      </x:c>
      <x:c r="L93" s="57" t="n">
        <x:v>0.31</x:v>
      </x:c>
      <x:c r="M93" s="57" t="n">
        <x:v>2.03</x:v>
      </x:c>
      <x:c r="N93" s="57" t="n">
        <x:v>67.67</x:v>
      </x:c>
      <x:c r="O93" s="45" t="str">
        <x:v>模拟回次；深度按原始沿孔深记录</x:v>
      </x:c>
      <x:c r="P93" s="49" t="str">
        <x:f>IF(OR(D93="",H93=""),"",IF(OR(D93&lt;=0,H93&lt;0),"核对输入",IF(H93&gt;D93,"请核实长度","")))</x:f>
      </x:c>
    </x:row>
    <x:row r="94">
      <x:c r="A94" s="49" t="n">
        <x:f>IF(B94="","",ROW()-5)</x:f>
        <x:v>89</x:v>
      </x:c>
      <x:c r="B94" s="54" t="str">
        <x:v>R089</x:v>
      </x:c>
      <x:c r="C94" s="57" t="n">
        <x:v>267</x:v>
      </x:c>
      <x:c r="D94" s="57" t="n">
        <x:v>3</x:v>
      </x:c>
      <x:c r="E94" s="54" t="str">
        <x:v>12</x:v>
      </x:c>
      <x:c r="F94" s="57" t="n">
        <x:v>2.37</x:v>
      </x:c>
      <x:c r="G94" s="57" t="n">
        <x:v>0</x:v>
      </x:c>
      <x:c r="H94" s="57" t="n">
        <x:v>2.37</x:v>
      </x:c>
      <x:c r="I94" s="58" t="n">
        <x:f>IF(OR(D94="",H94="",D94&lt;=0),"",H94/D94*100)</x:f>
        <x:v>79</x:v>
      </x:c>
      <x:c r="J94" s="57" t="n">
        <x:v>0</x:v>
      </x:c>
      <x:c r="K94" s="57" t="n">
        <x:v>267</x:v>
      </x:c>
      <x:c r="L94" s="57" t="n">
        <x:v>0.33</x:v>
      </x:c>
      <x:c r="M94" s="57" t="n">
        <x:v>2.04</x:v>
      </x:c>
      <x:c r="N94" s="57" t="n">
        <x:v>68</x:v>
      </x:c>
      <x:c r="O94" s="45" t="str">
        <x:v>模拟回次；深度按原始沿孔深记录</x:v>
      </x:c>
      <x:c r="P94" s="49" t="str">
        <x:f>IF(OR(D94="",H94=""),"",IF(OR(D94&lt;=0,H94&lt;0),"核对输入",IF(H94&gt;D94,"请核实长度","")))</x:f>
      </x:c>
    </x:row>
    <x:row r="95">
      <x:c r="A95" s="49" t="n">
        <x:f>IF(B95="","",ROW()-5)</x:f>
        <x:v>90</x:v>
      </x:c>
      <x:c r="B95" s="54" t="str">
        <x:v>R090</x:v>
      </x:c>
      <x:c r="C95" s="57" t="n">
        <x:v>270</x:v>
      </x:c>
      <x:c r="D95" s="57" t="n">
        <x:v>3</x:v>
      </x:c>
      <x:c r="E95" s="54" t="str">
        <x:v>13</x:v>
      </x:c>
      <x:c r="F95" s="57" t="n">
        <x:v>2.49</x:v>
      </x:c>
      <x:c r="G95" s="57" t="n">
        <x:v>0</x:v>
      </x:c>
      <x:c r="H95" s="57" t="n">
        <x:v>2.49</x:v>
      </x:c>
      <x:c r="I95" s="58" t="n">
        <x:f>IF(OR(D95="",H95="",D95&lt;=0),"",H95/D95*100)</x:f>
        <x:v>83</x:v>
      </x:c>
      <x:c r="J95" s="57" t="n">
        <x:v>0</x:v>
      </x:c>
      <x:c r="K95" s="57" t="n">
        <x:v>270</x:v>
      </x:c>
      <x:c r="L95" s="57" t="n">
        <x:v>0.37</x:v>
      </x:c>
      <x:c r="M95" s="57" t="n">
        <x:v>2.12</x:v>
      </x:c>
      <x:c r="N95" s="57" t="n">
        <x:v>70.67</x:v>
      </x:c>
      <x:c r="O95" s="45" t="str">
        <x:v>模拟回次；深度按原始沿孔深记录</x:v>
      </x:c>
      <x:c r="P95" s="49" t="str">
        <x:f>IF(OR(D95="",H95=""),"",IF(OR(D95&lt;=0,H95&lt;0),"核对输入",IF(H95&gt;D95,"请核实长度","")))</x:f>
      </x:c>
    </x:row>
    <x:row r="96">
      <x:c r="A96" s="49" t="n">
        <x:f>IF(B96="","",ROW()-5)</x:f>
        <x:v>91</x:v>
      </x:c>
      <x:c r="B96" s="54" t="str">
        <x:v>R091</x:v>
      </x:c>
      <x:c r="C96" s="57" t="n">
        <x:v>273</x:v>
      </x:c>
      <x:c r="D96" s="57" t="n">
        <x:v>3</x:v>
      </x:c>
      <x:c r="E96" s="54" t="str">
        <x:v>14</x:v>
      </x:c>
      <x:c r="F96" s="57" t="n">
        <x:v>2.67</x:v>
      </x:c>
      <x:c r="G96" s="57" t="n">
        <x:v>0</x:v>
      </x:c>
      <x:c r="H96" s="57" t="n">
        <x:v>2.67</x:v>
      </x:c>
      <x:c r="I96" s="58" t="n">
        <x:f>IF(OR(D96="",H96="",D96&lt;=0),"",H96/D96*100)</x:f>
        <x:v>89</x:v>
      </x:c>
      <x:c r="J96" s="57" t="n">
        <x:v>0</x:v>
      </x:c>
      <x:c r="K96" s="57" t="n">
        <x:v>273</x:v>
      </x:c>
      <x:c r="L96" s="57" t="n">
        <x:v>0.41</x:v>
      </x:c>
      <x:c r="M96" s="57" t="n">
        <x:v>2.26</x:v>
      </x:c>
      <x:c r="N96" s="57" t="n">
        <x:v>75.33</x:v>
      </x:c>
      <x:c r="O96" s="45" t="str">
        <x:v>模拟回次；深度按原始沿孔深记录</x:v>
      </x:c>
      <x:c r="P96" s="49" t="str">
        <x:f>IF(OR(D96="",H96=""),"",IF(OR(D96&lt;=0,H96&lt;0),"核对输入",IF(H96&gt;D96,"请核实长度","")))</x:f>
      </x:c>
    </x:row>
    <x:row r="97">
      <x:c r="A97" s="49" t="n">
        <x:f>IF(B97="","",ROW()-5)</x:f>
        <x:v>92</x:v>
      </x:c>
      <x:c r="B97" s="54" t="str">
        <x:v>R092</x:v>
      </x:c>
      <x:c r="C97" s="57" t="n">
        <x:v>276</x:v>
      </x:c>
      <x:c r="D97" s="57" t="n">
        <x:v>3</x:v>
      </x:c>
      <x:c r="E97" s="54" t="str">
        <x:v>8</x:v>
      </x:c>
      <x:c r="F97" s="57" t="n">
        <x:v>2.83</x:v>
      </x:c>
      <x:c r="G97" s="57" t="n">
        <x:v>0</x:v>
      </x:c>
      <x:c r="H97" s="57" t="n">
        <x:v>2.83</x:v>
      </x:c>
      <x:c r="I97" s="58" t="n">
        <x:f>IF(OR(D97="",H97="",D97&lt;=0),"",H97/D97*100)</x:f>
        <x:v>94.33333333333334</x:v>
      </x:c>
      <x:c r="J97" s="57" t="n">
        <x:v>0</x:v>
      </x:c>
      <x:c r="K97" s="57" t="n">
        <x:v>276</x:v>
      </x:c>
      <x:c r="L97" s="57" t="n">
        <x:v>0.45</x:v>
      </x:c>
      <x:c r="M97" s="57" t="n">
        <x:v>2.38</x:v>
      </x:c>
      <x:c r="N97" s="57" t="n">
        <x:v>79.33</x:v>
      </x:c>
      <x:c r="O97" s="45" t="str">
        <x:v>模拟回次；深度按原始沿孔深记录</x:v>
      </x:c>
      <x:c r="P97" s="49" t="str">
        <x:f>IF(OR(D97="",H97=""),"",IF(OR(D97&lt;=0,H97&lt;0),"核对输入",IF(H97&gt;D97,"请核实长度","")))</x:f>
      </x:c>
    </x:row>
    <x:row r="98">
      <x:c r="A98" s="49" t="n">
        <x:f>IF(B98="","",ROW()-5)</x:f>
        <x:v>93</x:v>
      </x:c>
      <x:c r="B98" s="54" t="str">
        <x:v>R093</x:v>
      </x:c>
      <x:c r="C98" s="57" t="n">
        <x:v>279</x:v>
      </x:c>
      <x:c r="D98" s="57" t="n">
        <x:v>3</x:v>
      </x:c>
      <x:c r="E98" s="54" t="str">
        <x:v>9</x:v>
      </x:c>
      <x:c r="F98" s="57" t="n">
        <x:v>2.91</x:v>
      </x:c>
      <x:c r="G98" s="57" t="n">
        <x:v>0</x:v>
      </x:c>
      <x:c r="H98" s="57" t="n">
        <x:v>2.91</x:v>
      </x:c>
      <x:c r="I98" s="58" t="n">
        <x:f>IF(OR(D98="",H98="",D98&lt;=0),"",H98/D98*100)</x:f>
        <x:v>97.00000000000001</x:v>
      </x:c>
      <x:c r="J98" s="57" t="n">
        <x:v>0</x:v>
      </x:c>
      <x:c r="K98" s="57" t="n">
        <x:v>279</x:v>
      </x:c>
      <x:c r="L98" s="57" t="n">
        <x:v>0.47</x:v>
      </x:c>
      <x:c r="M98" s="57" t="n">
        <x:v>2.44</x:v>
      </x:c>
      <x:c r="N98" s="57" t="n">
        <x:v>81.33</x:v>
      </x:c>
      <x:c r="O98" s="45" t="str">
        <x:v>模拟回次；深度按原始沿孔深记录</x:v>
      </x:c>
      <x:c r="P98" s="49" t="str">
        <x:f>IF(OR(D98="",H98=""),"",IF(OR(D98&lt;=0,H98&lt;0),"核对输入",IF(H98&gt;D98,"请核实长度","")))</x:f>
      </x:c>
    </x:row>
    <x:row r="99">
      <x:c r="A99" s="49" t="n">
        <x:f>IF(B99="","",ROW()-5)</x:f>
        <x:v>94</x:v>
      </x:c>
      <x:c r="B99" s="54" t="str">
        <x:v>R094</x:v>
      </x:c>
      <x:c r="C99" s="57" t="n">
        <x:v>282</x:v>
      </x:c>
      <x:c r="D99" s="57" t="n">
        <x:v>3</x:v>
      </x:c>
      <x:c r="E99" s="54" t="str">
        <x:v>10</x:v>
      </x:c>
      <x:c r="F99" s="57" t="n">
        <x:v>2.88</x:v>
      </x:c>
      <x:c r="G99" s="57" t="n">
        <x:v>0</x:v>
      </x:c>
      <x:c r="H99" s="57" t="n">
        <x:v>2.88</x:v>
      </x:c>
      <x:c r="I99" s="58" t="n">
        <x:f>IF(OR(D99="",H99="",D99&lt;=0),"",H99/D99*100)</x:f>
        <x:v>96</x:v>
      </x:c>
      <x:c r="J99" s="57" t="n">
        <x:v>0</x:v>
      </x:c>
      <x:c r="K99" s="57" t="n">
        <x:v>282</x:v>
      </x:c>
      <x:c r="L99" s="57" t="n">
        <x:v>0.46</x:v>
      </x:c>
      <x:c r="M99" s="57" t="n">
        <x:v>2.42</x:v>
      </x:c>
      <x:c r="N99" s="57" t="n">
        <x:v>80.67</x:v>
      </x:c>
      <x:c r="O99" s="45" t="str">
        <x:v>模拟回次；深度按原始沿孔深记录</x:v>
      </x:c>
      <x:c r="P99" s="49" t="str">
        <x:f>IF(OR(D99="",H99=""),"",IF(OR(D99&lt;=0,H99&lt;0),"核对输入",IF(H99&gt;D99,"请核实长度","")))</x:f>
      </x:c>
    </x:row>
    <x:row r="100">
      <x:c r="A100" s="49" t="n">
        <x:f>IF(B100="","",ROW()-5)</x:f>
        <x:v>95</x:v>
      </x:c>
      <x:c r="B100" s="54" t="str">
        <x:v>R095</x:v>
      </x:c>
      <x:c r="C100" s="57" t="n">
        <x:v>285</x:v>
      </x:c>
      <x:c r="D100" s="57" t="n">
        <x:v>3</x:v>
      </x:c>
      <x:c r="E100" s="54" t="str">
        <x:v>11</x:v>
      </x:c>
      <x:c r="F100" s="57" t="n">
        <x:v>2.75</x:v>
      </x:c>
      <x:c r="G100" s="57" t="n">
        <x:v>0</x:v>
      </x:c>
      <x:c r="H100" s="57" t="n">
        <x:v>2.75</x:v>
      </x:c>
      <x:c r="I100" s="58" t="n">
        <x:f>IF(OR(D100="",H100="",D100&lt;=0),"",H100/D100*100)</x:f>
        <x:v>91.66666666666666</x:v>
      </x:c>
      <x:c r="J100" s="57" t="n">
        <x:v>0</x:v>
      </x:c>
      <x:c r="K100" s="57" t="n">
        <x:v>285</x:v>
      </x:c>
      <x:c r="L100" s="57" t="n">
        <x:v>0.42</x:v>
      </x:c>
      <x:c r="M100" s="57" t="n">
        <x:v>2.33</x:v>
      </x:c>
      <x:c r="N100" s="57" t="n">
        <x:v>77.67</x:v>
      </x:c>
      <x:c r="O100" s="45" t="str">
        <x:v>模拟回次；深度按原始沿孔深记录</x:v>
      </x:c>
      <x:c r="P100" s="49" t="str">
        <x:f>IF(OR(D100="",H100=""),"",IF(OR(D100&lt;=0,H100&lt;0),"核对输入",IF(H100&gt;D100,"请核实长度","")))</x:f>
      </x:c>
    </x:row>
    <x:row r="101">
      <x:c r="A101" s="49" t="n">
        <x:f>IF(B101="","",ROW()-5)</x:f>
        <x:v>96</x:v>
      </x:c>
      <x:c r="B101" s="54" t="str">
        <x:v>R096</x:v>
      </x:c>
      <x:c r="C101" s="57" t="n">
        <x:v>288</x:v>
      </x:c>
      <x:c r="D101" s="57" t="n">
        <x:v>3</x:v>
      </x:c>
      <x:c r="E101" s="54" t="str">
        <x:v>12</x:v>
      </x:c>
      <x:c r="F101" s="57" t="n">
        <x:v>2.58</x:v>
      </x:c>
      <x:c r="G101" s="57" t="n">
        <x:v>0</x:v>
      </x:c>
      <x:c r="H101" s="57" t="n">
        <x:v>2.58</x:v>
      </x:c>
      <x:c r="I101" s="58" t="n">
        <x:f>IF(OR(D101="",H101="",D101&lt;=0),"",H101/D101*100)</x:f>
        <x:v>86</x:v>
      </x:c>
      <x:c r="J101" s="57" t="n">
        <x:v>0</x:v>
      </x:c>
      <x:c r="K101" s="57" t="n">
        <x:v>288</x:v>
      </x:c>
      <x:c r="L101" s="57" t="n">
        <x:v>0.38</x:v>
      </x:c>
      <x:c r="M101" s="57" t="n">
        <x:v>2.2</x:v>
      </x:c>
      <x:c r="N101" s="57" t="n">
        <x:v>73.33</x:v>
      </x:c>
      <x:c r="O101" s="45" t="str">
        <x:v>模拟回次；深度按原始沿孔深记录</x:v>
      </x:c>
      <x:c r="P101" s="49" t="str">
        <x:f>IF(OR(D101="",H101=""),"",IF(OR(D101&lt;=0,H101&lt;0),"核对输入",IF(H101&gt;D101,"请核实长度","")))</x:f>
      </x:c>
    </x:row>
    <x:row r="102">
      <x:c r="A102" s="49" t="n">
        <x:f>IF(B102="","",ROW()-5)</x:f>
        <x:v>97</x:v>
      </x:c>
      <x:c r="B102" s="54" t="str">
        <x:v>R097</x:v>
      </x:c>
      <x:c r="C102" s="57" t="n">
        <x:v>291</x:v>
      </x:c>
      <x:c r="D102" s="57" t="n">
        <x:v>3</x:v>
      </x:c>
      <x:c r="E102" s="54" t="str">
        <x:v>13</x:v>
      </x:c>
      <x:c r="F102" s="57" t="n">
        <x:v>2.42</x:v>
      </x:c>
      <x:c r="G102" s="57" t="n">
        <x:v>0</x:v>
      </x:c>
      <x:c r="H102" s="57" t="n">
        <x:v>2.42</x:v>
      </x:c>
      <x:c r="I102" s="58" t="n">
        <x:f>IF(OR(D102="",H102="",D102&lt;=0),"",H102/D102*100)</x:f>
        <x:v>80.66666666666666</x:v>
      </x:c>
      <x:c r="J102" s="57" t="n">
        <x:v>0</x:v>
      </x:c>
      <x:c r="K102" s="57" t="n">
        <x:v>291</x:v>
      </x:c>
      <x:c r="L102" s="57" t="n">
        <x:v>0.33</x:v>
      </x:c>
      <x:c r="M102" s="57" t="n">
        <x:v>2.09</x:v>
      </x:c>
      <x:c r="N102" s="57" t="n">
        <x:v>69.67</x:v>
      </x:c>
      <x:c r="O102" s="45" t="str">
        <x:v>模拟回次；深度按原始沿孔深记录</x:v>
      </x:c>
      <x:c r="P102" s="49" t="str">
        <x:f>IF(OR(D102="",H102=""),"",IF(OR(D102&lt;=0,H102&lt;0),"核对输入",IF(H102&gt;D102,"请核实长度","")))</x:f>
      </x:c>
    </x:row>
    <x:row r="103">
      <x:c r="A103" s="49" t="n">
        <x:f>IF(B103="","",ROW()-5)</x:f>
        <x:v>98</x:v>
      </x:c>
      <x:c r="B103" s="54" t="str">
        <x:v>R098</x:v>
      </x:c>
      <x:c r="C103" s="57" t="n">
        <x:v>294</x:v>
      </x:c>
      <x:c r="D103" s="57" t="n">
        <x:v>3</x:v>
      </x:c>
      <x:c r="E103" s="54" t="str">
        <x:v>14</x:v>
      </x:c>
      <x:c r="F103" s="57" t="n">
        <x:v>2.34</x:v>
      </x:c>
      <x:c r="G103" s="57" t="n">
        <x:v>0</x:v>
      </x:c>
      <x:c r="H103" s="57" t="n">
        <x:v>2.34</x:v>
      </x:c>
      <x:c r="I103" s="58" t="n">
        <x:f>IF(OR(D103="",H103="",D103&lt;=0),"",H103/D103*100)</x:f>
        <x:v>77.99999999999999</x:v>
      </x:c>
      <x:c r="J103" s="57" t="n">
        <x:v>0</x:v>
      </x:c>
      <x:c r="K103" s="57" t="n">
        <x:v>294</x:v>
      </x:c>
      <x:c r="L103" s="57" t="n">
        <x:v>0.31</x:v>
      </x:c>
      <x:c r="M103" s="57" t="n">
        <x:v>2.03</x:v>
      </x:c>
      <x:c r="N103" s="57" t="n">
        <x:v>67.67</x:v>
      </x:c>
      <x:c r="O103" s="45" t="str">
        <x:v>模拟回次；深度按原始沿孔深记录</x:v>
      </x:c>
      <x:c r="P103" s="49" t="str">
        <x:f>IF(OR(D103="",H103=""),"",IF(OR(D103&lt;=0,H103&lt;0),"核对输入",IF(H103&gt;D103,"请核实长度","")))</x:f>
      </x:c>
    </x:row>
    <x:row r="104">
      <x:c r="A104" s="49" t="n">
        <x:f>IF(B104="","",ROW()-5)</x:f>
        <x:v>99</x:v>
      </x:c>
      <x:c r="B104" s="54" t="str">
        <x:v>R099</x:v>
      </x:c>
      <x:c r="C104" s="57" t="n">
        <x:v>297</x:v>
      </x:c>
      <x:c r="D104" s="57" t="n">
        <x:v>3</x:v>
      </x:c>
      <x:c r="E104" s="54" t="str">
        <x:v>8</x:v>
      </x:c>
      <x:c r="F104" s="57" t="n">
        <x:v>2.37</x:v>
      </x:c>
      <x:c r="G104" s="57" t="n">
        <x:v>0</x:v>
      </x:c>
      <x:c r="H104" s="57" t="n">
        <x:v>2.37</x:v>
      </x:c>
      <x:c r="I104" s="58" t="n">
        <x:f>IF(OR(D104="",H104="",D104&lt;=0),"",H104/D104*100)</x:f>
        <x:v>79</x:v>
      </x:c>
      <x:c r="J104" s="57" t="n">
        <x:v>0</x:v>
      </x:c>
      <x:c r="K104" s="57" t="n">
        <x:v>297</x:v>
      </x:c>
      <x:c r="L104" s="57" t="n">
        <x:v>0.29</x:v>
      </x:c>
      <x:c r="M104" s="57" t="n">
        <x:v>2.08</x:v>
      </x:c>
      <x:c r="N104" s="57" t="n">
        <x:v>69.33</x:v>
      </x:c>
      <x:c r="O104" s="45" t="str">
        <x:v>模拟回次；深度按原始沿孔深记录</x:v>
      </x:c>
      <x:c r="P104" s="49" t="str">
        <x:f>IF(OR(D104="",H104=""),"",IF(OR(D104&lt;=0,H104&lt;0),"核对输入",IF(H104&gt;D104,"请核实长度","")))</x:f>
      </x:c>
    </x:row>
    <x:row r="105">
      <x:c r="A105" s="49" t="n">
        <x:f>IF(B105="","",ROW()-5)</x:f>
        <x:v>100</x:v>
      </x:c>
      <x:c r="B105" s="54" t="str">
        <x:v>R100</x:v>
      </x:c>
      <x:c r="C105" s="57" t="n">
        <x:v>300</x:v>
      </x:c>
      <x:c r="D105" s="57" t="n">
        <x:v>3</x:v>
      </x:c>
      <x:c r="E105" s="54" t="str">
        <x:v>9</x:v>
      </x:c>
      <x:c r="F105" s="57" t="n">
        <x:v>2.5</x:v>
      </x:c>
      <x:c r="G105" s="57" t="n">
        <x:v>0</x:v>
      </x:c>
      <x:c r="H105" s="57" t="n">
        <x:v>2.5</x:v>
      </x:c>
      <x:c r="I105" s="58" t="n">
        <x:f>IF(OR(D105="",H105="",D105&lt;=0),"",H105/D105*100)</x:f>
        <x:v>83.33333333333334</x:v>
      </x:c>
      <x:c r="J105" s="57" t="n">
        <x:v>0</x:v>
      </x:c>
      <x:c r="K105" s="57" t="n">
        <x:v>300</x:v>
      </x:c>
      <x:c r="L105" s="57" t="n">
        <x:v>0.3</x:v>
      </x:c>
      <x:c r="M105" s="57" t="n">
        <x:v>2.2</x:v>
      </x:c>
      <x:c r="N105" s="57" t="n">
        <x:v>73.33</x:v>
      </x:c>
      <x:c r="O105" s="45" t="str">
        <x:v>模拟回次；深度按原始沿孔深记录</x:v>
      </x:c>
      <x:c r="P105" s="49" t="str">
        <x:f>IF(OR(D105="",H105=""),"",IF(OR(D105&lt;=0,H105&lt;0),"核对输入",IF(H105&gt;D105,"请核实长度","")))</x:f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7" hidden="0" customWidth="1"/>
    <x:col min="8" max="8" width="14" hidden="0" customWidth="1"/>
    <x:col min="9" max="9" width="16" hidden="0" customWidth="1"/>
    <x:col min="10" max="10" width="20" hidden="0" customWidth="1"/>
    <x:col min="11" max="11" width="24" hidden="0" customWidth="1"/>
    <x:col min="12" max="12" width="16" hidden="0" customWidth="1"/>
    <x:col min="13" max="13" width="16" hidden="0" customWidth="1"/>
    <x:col min="14" max="14" width="30" hidden="0" customWidth="1"/>
    <x:col min="15" max="15" width="18" hidden="0" customWidth="1"/>
    <x:col min="16" max="16" width="20" hidden="0" customWidth="1"/>
  </x:cols>
  <x:sheetData>
    <x:row r="1" ht="24" customHeight="1">
      <x:c r="A1" s="3" t="str">
        <x:v>分层-原始记录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只录原始分层行；进尺与岩心分别保留。采取率直接按岩心长÷分层进尺计算，进尺为空或为零时留空并核对；不计算真厚度。汇总页与本表互不自动覆盖。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38" t="str">
        <x:v>分层行数</x:v>
      </x:c>
      <x:c r="B4" s="42" t="n">
        <x:f>COUNTIF(B6:B35,"&lt;&gt;")</x:f>
        <x:v>30</x:v>
      </x:c>
      <x:c r="C4" s="38" t="str">
        <x:v>进尺合计_m</x:v>
      </x:c>
      <x:c r="D4" s="42" t="n">
        <x:f>IF(COUNT(H6:H35)=0,"",SUM(H6:H35))</x:f>
        <x:v>300</x:v>
      </x:c>
      <x:c r="E4" s="38" t="str">
        <x:v>岩心合计_m</x:v>
      </x:c>
      <x:c r="F4" s="42" t="n">
        <x:f>IF(COUNT(I6:I35)=0,"",SUM(I6:I35))</x:f>
        <x:v>262.43999999999994</x:v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2"/>
    </x:row>
    <x:row r="5" ht="34" customHeight="1">
      <x:c r="A5" s="31" t="str">
        <x:v>序号</x:v>
      </x:c>
      <x:c r="B5" s="31" t="str">
        <x:v>层号</x:v>
      </x:c>
      <x:c r="C5" s="31" t="str">
        <x:v>起回次号</x:v>
      </x:c>
      <x:c r="D5" s="31" t="str">
        <x:v>起位置_m</x:v>
      </x:c>
      <x:c r="E5" s="31" t="str">
        <x:v>止回次号</x:v>
      </x:c>
      <x:c r="F5" s="31" t="str">
        <x:v>止位置_m</x:v>
      </x:c>
      <x:c r="G5" s="31" t="str">
        <x:v>换层累计孔深_m</x:v>
      </x:c>
      <x:c r="H5" s="31" t="str">
        <x:v>分层进尺_m</x:v>
      </x:c>
      <x:c r="I5" s="31" t="str">
        <x:v>分层岩心长_m</x:v>
      </x:c>
      <x:c r="J5" s="31" t="str">
        <x:v>分层采取率_pct（计算）</x:v>
      </x:c>
      <x:c r="K5" s="31" t="str">
        <x:v>岩性名称</x:v>
      </x:c>
      <x:c r="L5" s="31" t="str">
        <x:v>平均轴夹角_deg</x:v>
      </x:c>
      <x:c r="M5" s="31" t="str">
        <x:v>真厚度_m（原填）</x:v>
      </x:c>
      <x:c r="N5" s="31" t="str">
        <x:v>调整/说明</x:v>
      </x:c>
      <x:c r="O5" s="31" t="str">
        <x:v>止回次岩心长_m</x:v>
      </x:c>
      <x:c r="P5" s="31" t="str">
        <x:v>原表O列未命名值</x:v>
      </x:c>
    </x:row>
    <x:row r="6" ht="23" customHeight="1">
      <x:c r="A6" s="49" t="n">
        <x:f>IF(B6="","",ROW()-5)</x:f>
        <x:v>1</x:v>
      </x:c>
      <x:c r="B6" s="52" t="str">
        <x:v>01</x:v>
      </x:c>
      <x:c r="C6" s="52" t="str">
        <x:v>R001</x:v>
      </x:c>
      <x:c r="D6" s="55" t="n">
        <x:v>0</x:v>
      </x:c>
      <x:c r="E6" s="52" t="str">
        <x:v>R004</x:v>
      </x:c>
      <x:c r="F6" s="55" t="n">
        <x:v>1</x:v>
      </x:c>
      <x:c r="G6" s="55" t="n">
        <x:v>10</x:v>
      </x:c>
      <x:c r="H6" s="55" t="n">
        <x:v>10</x:v>
      </x:c>
      <x:c r="I6" s="55" t="n">
        <x:v>9.28</x:v>
      </x:c>
      <x:c r="J6" s="58" t="n">
        <x:f>IF(OR(H6="",I6="",H6&lt;=0),"",I6/H6*100)</x:f>
        <x:v>92.8</x:v>
      </x:c>
      <x:c r="K6" s="43" t="str">
        <x:v>泥岩夹泥质粉砂岩</x:v>
      </x:c>
      <x:c r="L6" s="55" t="n">
        <x:v>54</x:v>
      </x:c>
      <x:c r="M6" s="55" t="n">
        <x:v>5.88</x:v>
      </x:c>
      <x:c r="N6" s="43" t="str">
        <x:v>灰黑色，薄层状，局部泥质条带；模拟围岩段</x:v>
      </x:c>
      <x:c r="O6" s="55" t="n">
        <x:v>2.9</x:v>
      </x:c>
      <x:c r="P6" s="43" t="str">
        <x:v>无附加原列值（模拟）</x:v>
      </x:c>
    </x:row>
    <x:row r="7" ht="23" customHeight="1">
      <x:c r="A7" s="49" t="n">
        <x:f>IF(B7="","",ROW()-5)</x:f>
        <x:v>2</x:v>
      </x:c>
      <x:c r="B7" s="53" t="str">
        <x:v>02</x:v>
      </x:c>
      <x:c r="C7" s="53" t="str">
        <x:v>R004</x:v>
      </x:c>
      <x:c r="D7" s="56" t="n">
        <x:v>1</x:v>
      </x:c>
      <x:c r="E7" s="53" t="str">
        <x:v>R007</x:v>
      </x:c>
      <x:c r="F7" s="56" t="n">
        <x:v>2</x:v>
      </x:c>
      <x:c r="G7" s="56" t="n">
        <x:v>20</x:v>
      </x:c>
      <x:c r="H7" s="56" t="n">
        <x:v>10</x:v>
      </x:c>
      <x:c r="I7" s="56" t="n">
        <x:v>8.98</x:v>
      </x:c>
      <x:c r="J7" s="58" t="n">
        <x:f>IF(OR(H7="",I7="",H7&lt;=0),"",I7/H7*100)</x:f>
        <x:v>89.8</x:v>
      </x:c>
      <x:c r="K7" s="44" t="str">
        <x:v>泥岩、泥质粉砂岩</x:v>
      </x:c>
      <x:c r="L7" s="56" t="n">
        <x:v>57.12</x:v>
      </x:c>
      <x:c r="M7" s="56" t="n">
        <x:v>5.43</x:v>
      </x:c>
      <x:c r="N7" s="44" t="str">
        <x:v>深灰色，细粒结构，裂隙间断发育；模拟围岩段</x:v>
      </x:c>
      <x:c r="O7" s="56" t="n">
        <x:v>2.46</x:v>
      </x:c>
      <x:c r="P7" s="44" t="str">
        <x:v>无附加原列值（模拟）</x:v>
      </x:c>
    </x:row>
    <x:row r="8" ht="23" customHeight="1">
      <x:c r="A8" s="49" t="n">
        <x:f>IF(B8="","",ROW()-5)</x:f>
        <x:v>3</x:v>
      </x:c>
      <x:c r="B8" s="53" t="str">
        <x:v>03</x:v>
      </x:c>
      <x:c r="C8" s="53" t="str">
        <x:v>R007</x:v>
      </x:c>
      <x:c r="D8" s="56" t="n">
        <x:v>2</x:v>
      </x:c>
      <x:c r="E8" s="53" t="str">
        <x:v>R010</x:v>
      </x:c>
      <x:c r="F8" s="56" t="n">
        <x:v>3</x:v>
      </x:c>
      <x:c r="G8" s="56" t="n">
        <x:v>30</x:v>
      </x:c>
      <x:c r="H8" s="56" t="n">
        <x:v>10</x:v>
      </x:c>
      <x:c r="I8" s="56" t="n">
        <x:v>7.99</x:v>
      </x:c>
      <x:c r="J8" s="58" t="n">
        <x:f>IF(OR(H8="",I8="",H8&lt;=0),"",I8/H8*100)</x:f>
        <x:v>79.9</x:v>
      </x:c>
      <x:c r="K8" s="44" t="str">
        <x:v>砂岩夹粉砂岩</x:v>
      </x:c>
      <x:c r="L8" s="56" t="n">
        <x:v>59.74</x:v>
      </x:c>
      <x:c r="M8" s="56" t="n">
        <x:v>5.04</x:v>
      </x:c>
      <x:c r="N8" s="44" t="str">
        <x:v>灰色，中细粒结构，层理清晰；模拟围岩段</x:v>
      </x:c>
      <x:c r="O8" s="56" t="n">
        <x:v>2.46</x:v>
      </x:c>
      <x:c r="P8" s="44" t="str">
        <x:v>无附加原列值（模拟）</x:v>
      </x:c>
    </x:row>
    <x:row r="9" ht="23" customHeight="1">
      <x:c r="A9" s="49" t="n">
        <x:f>IF(B9="","",ROW()-5)</x:f>
        <x:v>4</x:v>
      </x:c>
      <x:c r="B9" s="53" t="str">
        <x:v>04</x:v>
      </x:c>
      <x:c r="C9" s="53" t="str">
        <x:v>R011</x:v>
      </x:c>
      <x:c r="D9" s="56" t="n">
        <x:v>0</x:v>
      </x:c>
      <x:c r="E9" s="53" t="str">
        <x:v>R014</x:v>
      </x:c>
      <x:c r="F9" s="56" t="n">
        <x:v>1</x:v>
      </x:c>
      <x:c r="G9" s="56" t="n">
        <x:v>40</x:v>
      </x:c>
      <x:c r="H9" s="56" t="n">
        <x:v>10</x:v>
      </x:c>
      <x:c r="I9" s="56" t="n">
        <x:v>9.29</x:v>
      </x:c>
      <x:c r="J9" s="58" t="n">
        <x:f>IF(OR(H9="",I9="",H9&lt;=0),"",I9/H9*100)</x:f>
        <x:v>92.89999999999999</x:v>
      </x:c>
      <x:c r="K9" s="44" t="str">
        <x:v>泥岩夹泥质粉砂岩</x:v>
      </x:c>
      <x:c r="L9" s="56" t="n">
        <x:v>61.46</x:v>
      </x:c>
      <x:c r="M9" s="56" t="n">
        <x:v>4.78</x:v>
      </x:c>
      <x:c r="N9" s="44" t="str">
        <x:v>灰黑色，薄层状，局部泥质条带；模拟围岩段</x:v>
      </x:c>
      <x:c r="O9" s="56" t="n">
        <x:v>2.89</x:v>
      </x:c>
      <x:c r="P9" s="44" t="str">
        <x:v>无附加原列值（模拟）</x:v>
      </x:c>
    </x:row>
    <x:row r="10" ht="23" customHeight="1">
      <x:c r="A10" s="49" t="n">
        <x:f>IF(B10="","",ROW()-5)</x:f>
        <x:v>5</x:v>
      </x:c>
      <x:c r="B10" s="53" t="str">
        <x:v>05</x:v>
      </x:c>
      <x:c r="C10" s="53" t="str">
        <x:v>R014</x:v>
      </x:c>
      <x:c r="D10" s="56" t="n">
        <x:v>1</x:v>
      </x:c>
      <x:c r="E10" s="53" t="str">
        <x:v>R017</x:v>
      </x:c>
      <x:c r="F10" s="56" t="n">
        <x:v>2</x:v>
      </x:c>
      <x:c r="G10" s="56" t="n">
        <x:v>50</x:v>
      </x:c>
      <x:c r="H10" s="56" t="n">
        <x:v>10</x:v>
      </x:c>
      <x:c r="I10" s="56" t="n">
        <x:v>8.97</x:v>
      </x:c>
      <x:c r="J10" s="58" t="n">
        <x:f>IF(OR(H10="",I10="",H10&lt;=0),"",I10/H10*100)</x:f>
        <x:v>89.7</x:v>
      </x:c>
      <x:c r="K10" s="44" t="str">
        <x:v>泥岩、泥质粉砂岩</x:v>
      </x:c>
      <x:c r="L10" s="56" t="n">
        <x:v>62</x:v>
      </x:c>
      <x:c r="M10" s="56" t="n">
        <x:v>4.69</x:v>
      </x:c>
      <x:c r="N10" s="44" t="str">
        <x:v>深灰色，细粒结构，裂隙间断发育；模拟围岩段</x:v>
      </x:c>
      <x:c r="O10" s="56" t="n">
        <x:v>2.45</x:v>
      </x:c>
      <x:c r="P10" s="44" t="str">
        <x:v>无附加原列值（模拟）</x:v>
      </x:c>
    </x:row>
    <x:row r="11" ht="23" customHeight="1">
      <x:c r="A11" s="49" t="n">
        <x:f>IF(B11="","",ROW()-5)</x:f>
        <x:v>6</x:v>
      </x:c>
      <x:c r="B11" s="53" t="str">
        <x:v>06</x:v>
      </x:c>
      <x:c r="C11" s="53" t="str">
        <x:v>R017</x:v>
      </x:c>
      <x:c r="D11" s="56" t="n">
        <x:v>2</x:v>
      </x:c>
      <x:c r="E11" s="53" t="str">
        <x:v>R020</x:v>
      </x:c>
      <x:c r="F11" s="56" t="n">
        <x:v>3</x:v>
      </x:c>
      <x:c r="G11" s="56" t="n">
        <x:v>60</x:v>
      </x:c>
      <x:c r="H11" s="56" t="n">
        <x:v>10</x:v>
      </x:c>
      <x:c r="I11" s="56" t="n">
        <x:v>7.99</x:v>
      </x:c>
      <x:c r="J11" s="58" t="n">
        <x:f>IF(OR(H11="",I11="",H11&lt;=0),"",I11/H11*100)</x:f>
        <x:v>79.9</x:v>
      </x:c>
      <x:c r="K11" s="44" t="str">
        <x:v>砂岩夹粉砂岩</x:v>
      </x:c>
      <x:c r="L11" s="56" t="n">
        <x:v>61.27</x:v>
      </x:c>
      <x:c r="M11" s="56" t="n">
        <x:v>4.81</x:v>
      </x:c>
      <x:c r="N11" s="44" t="str">
        <x:v>灰色，中细粒结构，层理清晰；模拟围岩段</x:v>
      </x:c>
      <x:c r="O11" s="56" t="n">
        <x:v>2.46</x:v>
      </x:c>
      <x:c r="P11" s="44" t="str">
        <x:v>无附加原列值（模拟）</x:v>
      </x:c>
    </x:row>
    <x:row r="12" ht="23" customHeight="1">
      <x:c r="A12" s="49" t="n">
        <x:f>IF(B12="","",ROW()-5)</x:f>
        <x:v>7</x:v>
      </x:c>
      <x:c r="B12" s="53" t="str">
        <x:v>07</x:v>
      </x:c>
      <x:c r="C12" s="53" t="str">
        <x:v>R021</x:v>
      </x:c>
      <x:c r="D12" s="56" t="n">
        <x:v>0</x:v>
      </x:c>
      <x:c r="E12" s="53" t="str">
        <x:v>R024</x:v>
      </x:c>
      <x:c r="F12" s="56" t="n">
        <x:v>1</x:v>
      </x:c>
      <x:c r="G12" s="56" t="n">
        <x:v>70</x:v>
      </x:c>
      <x:c r="H12" s="56" t="n">
        <x:v>10</x:v>
      </x:c>
      <x:c r="I12" s="56" t="n">
        <x:v>9.29</x:v>
      </x:c>
      <x:c r="J12" s="58" t="n">
        <x:f>IF(OR(H12="",I12="",H12&lt;=0),"",I12/H12*100)</x:f>
        <x:v>92.89999999999999</x:v>
      </x:c>
      <x:c r="K12" s="44" t="str">
        <x:v>泥岩夹泥质粉砂岩</x:v>
      </x:c>
      <x:c r="L12" s="56" t="n">
        <x:v>59.4</x:v>
      </x:c>
      <x:c r="M12" s="56" t="n">
        <x:v>5.09</x:v>
      </x:c>
      <x:c r="N12" s="44" t="str">
        <x:v>灰黑色，薄层状，局部泥质条带；模拟矿化段，细脉状浸染</x:v>
      </x:c>
      <x:c r="O12" s="56" t="n">
        <x:v>2.89</x:v>
      </x:c>
      <x:c r="P12" s="44" t="str">
        <x:v>无附加原列值（模拟）</x:v>
      </x:c>
    </x:row>
    <x:row r="13" ht="23" customHeight="1">
      <x:c r="A13" s="49" t="n">
        <x:f>IF(B13="","",ROW()-5)</x:f>
        <x:v>8</x:v>
      </x:c>
      <x:c r="B13" s="53" t="str">
        <x:v>08</x:v>
      </x:c>
      <x:c r="C13" s="53" t="str">
        <x:v>R024</x:v>
      </x:c>
      <x:c r="D13" s="56" t="n">
        <x:v>1</x:v>
      </x:c>
      <x:c r="E13" s="53" t="str">
        <x:v>R027</x:v>
      </x:c>
      <x:c r="F13" s="56" t="n">
        <x:v>2</x:v>
      </x:c>
      <x:c r="G13" s="56" t="n">
        <x:v>80</x:v>
      </x:c>
      <x:c r="H13" s="56" t="n">
        <x:v>10</x:v>
      </x:c>
      <x:c r="I13" s="56" t="n">
        <x:v>8.95</x:v>
      </x:c>
      <x:c r="J13" s="58" t="n">
        <x:f>IF(OR(H13="",I13="",H13&lt;=0),"",I13/H13*100)</x:f>
        <x:v>89.49999999999999</x:v>
      </x:c>
      <x:c r="K13" s="44" t="str">
        <x:v>泥岩、泥质粉砂岩</x:v>
      </x:c>
      <x:c r="L13" s="56" t="n">
        <x:v>56.68</x:v>
      </x:c>
      <x:c r="M13" s="56" t="n">
        <x:v>5.49</x:v>
      </x:c>
      <x:c r="N13" s="44" t="str">
        <x:v>深灰色，细粒结构，裂隙间断发育；模拟矿化段，细脉状浸染</x:v>
      </x:c>
      <x:c r="O13" s="56" t="n">
        <x:v>2.45</x:v>
      </x:c>
      <x:c r="P13" s="44" t="str">
        <x:v>无附加原列值（模拟）</x:v>
      </x:c>
    </x:row>
    <x:row r="14" ht="23" customHeight="1">
      <x:c r="A14" s="49" t="n">
        <x:f>IF(B14="","",ROW()-5)</x:f>
        <x:v>9</x:v>
      </x:c>
      <x:c r="B14" s="53" t="str">
        <x:v>09</x:v>
      </x:c>
      <x:c r="C14" s="53" t="str">
        <x:v>R027</x:v>
      </x:c>
      <x:c r="D14" s="56" t="n">
        <x:v>2</x:v>
      </x:c>
      <x:c r="E14" s="53" t="str">
        <x:v>R030</x:v>
      </x:c>
      <x:c r="F14" s="56" t="n">
        <x:v>3</x:v>
      </x:c>
      <x:c r="G14" s="56" t="n">
        <x:v>90</x:v>
      </x:c>
      <x:c r="H14" s="56" t="n">
        <x:v>10</x:v>
      </x:c>
      <x:c r="I14" s="56" t="n">
        <x:v>8</x:v>
      </x:c>
      <x:c r="J14" s="58" t="n">
        <x:f>IF(OR(H14="",I14="",H14&lt;=0),"",I14/H14*100)</x:f>
        <x:v>80</x:v>
      </x:c>
      <x:c r="K14" s="44" t="str">
        <x:v>砂岩夹粉砂岩</x:v>
      </x:c>
      <x:c r="L14" s="56" t="n">
        <x:v>53.53</x:v>
      </x:c>
      <x:c r="M14" s="56" t="n">
        <x:v>5.94</x:v>
      </x:c>
      <x:c r="N14" s="44" t="str">
        <x:v>灰色，中细粒结构，层理清晰；模拟矿化段，细脉状浸染</x:v>
      </x:c>
      <x:c r="O14" s="56" t="n">
        <x:v>2.47</x:v>
      </x:c>
      <x:c r="P14" s="44" t="str">
        <x:v>无附加原列值（模拟）</x:v>
      </x:c>
    </x:row>
    <x:row r="15" ht="23" customHeight="1">
      <x:c r="A15" s="49" t="n">
        <x:f>IF(B15="","",ROW()-5)</x:f>
        <x:v>10</x:v>
      </x:c>
      <x:c r="B15" s="53" t="str">
        <x:v>10</x:v>
      </x:c>
      <x:c r="C15" s="53" t="str">
        <x:v>R031</x:v>
      </x:c>
      <x:c r="D15" s="56" t="n">
        <x:v>0</x:v>
      </x:c>
      <x:c r="E15" s="53" t="str">
        <x:v>R034</x:v>
      </x:c>
      <x:c r="F15" s="56" t="n">
        <x:v>1</x:v>
      </x:c>
      <x:c r="G15" s="56" t="n">
        <x:v>100</x:v>
      </x:c>
      <x:c r="H15" s="56" t="n">
        <x:v>10</x:v>
      </x:c>
      <x:c r="I15" s="56" t="n">
        <x:v>9.3</x:v>
      </x:c>
      <x:c r="J15" s="58" t="n">
        <x:f>IF(OR(H15="",I15="",H15&lt;=0),"",I15/H15*100)</x:f>
        <x:v>93</x:v>
      </x:c>
      <x:c r="K15" s="44" t="str">
        <x:v>泥岩夹泥质粉砂岩</x:v>
      </x:c>
      <x:c r="L15" s="56" t="n">
        <x:v>50.46</x:v>
      </x:c>
      <x:c r="M15" s="56" t="n">
        <x:v>6.37</x:v>
      </x:c>
      <x:c r="N15" s="44" t="str">
        <x:v>灰黑色，薄层状，局部泥质条带；模拟围岩段</x:v>
      </x:c>
      <x:c r="O15" s="56" t="n">
        <x:v>2.89</x:v>
      </x:c>
      <x:c r="P15" s="44" t="str">
        <x:v>无附加原列值（模拟）</x:v>
      </x:c>
    </x:row>
    <x:row r="16" ht="23" customHeight="1">
      <x:c r="A16" s="49" t="n">
        <x:f>IF(B16="","",ROW()-5)</x:f>
        <x:v>11</x:v>
      </x:c>
      <x:c r="B16" s="53" t="str">
        <x:v>11</x:v>
      </x:c>
      <x:c r="C16" s="53" t="str">
        <x:v>R034</x:v>
      </x:c>
      <x:c r="D16" s="56" t="n">
        <x:v>1</x:v>
      </x:c>
      <x:c r="E16" s="53" t="str">
        <x:v>R037</x:v>
      </x:c>
      <x:c r="F16" s="56" t="n">
        <x:v>2</x:v>
      </x:c>
      <x:c r="G16" s="56" t="n">
        <x:v>110</x:v>
      </x:c>
      <x:c r="H16" s="56" t="n">
        <x:v>10</x:v>
      </x:c>
      <x:c r="I16" s="56" t="n">
        <x:v>8.94</x:v>
      </x:c>
      <x:c r="J16" s="58" t="n">
        <x:f>IF(OR(H16="",I16="",H16&lt;=0),"",I16/H16*100)</x:f>
        <x:v>89.39999999999999</x:v>
      </x:c>
      <x:c r="K16" s="44" t="str">
        <x:v>泥岩、泥质粉砂岩</x:v>
      </x:c>
      <x:c r="L16" s="56" t="n">
        <x:v>47.95</x:v>
      </x:c>
      <x:c r="M16" s="56" t="n">
        <x:v>6.7</x:v>
      </x:c>
      <x:c r="N16" s="44" t="str">
        <x:v>深灰色，细粒结构，裂隙间断发育；模拟围岩段</x:v>
      </x:c>
      <x:c r="O16" s="56" t="n">
        <x:v>2.44</x:v>
      </x:c>
      <x:c r="P16" s="44" t="str">
        <x:v>无附加原列值（模拟）</x:v>
      </x:c>
    </x:row>
    <x:row r="17" ht="23" customHeight="1">
      <x:c r="A17" s="49" t="n">
        <x:f>IF(B17="","",ROW()-5)</x:f>
        <x:v>12</x:v>
      </x:c>
      <x:c r="B17" s="53" t="str">
        <x:v>12</x:v>
      </x:c>
      <x:c r="C17" s="53" t="str">
        <x:v>R037</x:v>
      </x:c>
      <x:c r="D17" s="56" t="n">
        <x:v>2</x:v>
      </x:c>
      <x:c r="E17" s="53" t="str">
        <x:v>R040</x:v>
      </x:c>
      <x:c r="F17" s="56" t="n">
        <x:v>3</x:v>
      </x:c>
      <x:c r="G17" s="56" t="n">
        <x:v>120</x:v>
      </x:c>
      <x:c r="H17" s="56" t="n">
        <x:v>10</x:v>
      </x:c>
      <x:c r="I17" s="56" t="n">
        <x:v>7.99</x:v>
      </x:c>
      <x:c r="J17" s="58" t="n">
        <x:f>IF(OR(H17="",I17="",H17&lt;=0),"",I17/H17*100)</x:f>
        <x:v>79.9</x:v>
      </x:c>
      <x:c r="K17" s="44" t="str">
        <x:v>砂岩夹粉砂岩</x:v>
      </x:c>
      <x:c r="L17" s="56" t="n">
        <x:v>46.39</x:v>
      </x:c>
      <x:c r="M17" s="56" t="n">
        <x:v>6.9</x:v>
      </x:c>
      <x:c r="N17" s="44" t="str">
        <x:v>灰色，中细粒结构，层理清晰；模拟围岩段</x:v>
      </x:c>
      <x:c r="O17" s="56" t="n">
        <x:v>2.47</x:v>
      </x:c>
      <x:c r="P17" s="44" t="str">
        <x:v>无附加原列值（模拟）</x:v>
      </x:c>
    </x:row>
    <x:row r="18" ht="23" customHeight="1">
      <x:c r="A18" s="49" t="n">
        <x:f>IF(B18="","",ROW()-5)</x:f>
        <x:v>13</x:v>
      </x:c>
      <x:c r="B18" s="53" t="str">
        <x:v>13</x:v>
      </x:c>
      <x:c r="C18" s="53" t="str">
        <x:v>R041</x:v>
      </x:c>
      <x:c r="D18" s="56" t="n">
        <x:v>0</x:v>
      </x:c>
      <x:c r="E18" s="53" t="str">
        <x:v>R044</x:v>
      </x:c>
      <x:c r="F18" s="56" t="n">
        <x:v>1</x:v>
      </x:c>
      <x:c r="G18" s="56" t="n">
        <x:v>130</x:v>
      </x:c>
      <x:c r="H18" s="56" t="n">
        <x:v>10</x:v>
      </x:c>
      <x:c r="I18" s="56" t="n">
        <x:v>9.31</x:v>
      </x:c>
      <x:c r="J18" s="58" t="n">
        <x:f>IF(OR(H18="",I18="",H18&lt;=0),"",I18/H18*100)</x:f>
        <x:v>93.10000000000001</x:v>
      </x:c>
      <x:c r="K18" s="44" t="str">
        <x:v>泥岩夹泥质粉砂岩</x:v>
      </x:c>
      <x:c r="L18" s="56" t="n">
        <x:v>46.03</x:v>
      </x:c>
      <x:c r="M18" s="56" t="n">
        <x:v>6.94</x:v>
      </x:c>
      <x:c r="N18" s="44" t="str">
        <x:v>灰黑色，薄层状，局部泥质条带；模拟围岩段</x:v>
      </x:c>
      <x:c r="O18" s="56" t="n">
        <x:v>2.89</x:v>
      </x:c>
      <x:c r="P18" s="44" t="str">
        <x:v>无附加原列值（模拟）</x:v>
      </x:c>
    </x:row>
    <x:row r="19" ht="23" customHeight="1">
      <x:c r="A19" s="49" t="n">
        <x:f>IF(B19="","",ROW()-5)</x:f>
        <x:v>14</x:v>
      </x:c>
      <x:c r="B19" s="53" t="str">
        <x:v>14</x:v>
      </x:c>
      <x:c r="C19" s="53" t="str">
        <x:v>R044</x:v>
      </x:c>
      <x:c r="D19" s="56" t="n">
        <x:v>1</x:v>
      </x:c>
      <x:c r="E19" s="53" t="str">
        <x:v>R047</x:v>
      </x:c>
      <x:c r="F19" s="56" t="n">
        <x:v>2</x:v>
      </x:c>
      <x:c r="G19" s="56" t="n">
        <x:v>140</x:v>
      </x:c>
      <x:c r="H19" s="56" t="n">
        <x:v>10</x:v>
      </x:c>
      <x:c r="I19" s="56" t="n">
        <x:v>8.93</x:v>
      </x:c>
      <x:c r="J19" s="58" t="n">
        <x:f>IF(OR(H19="",I19="",H19&lt;=0),"",I19/H19*100)</x:f>
        <x:v>89.3</x:v>
      </x:c>
      <x:c r="K19" s="44" t="str">
        <x:v>泥岩、泥质粉砂岩</x:v>
      </x:c>
      <x:c r="L19" s="56" t="n">
        <x:v>46.93</x:v>
      </x:c>
      <x:c r="M19" s="56" t="n">
        <x:v>6.83</x:v>
      </x:c>
      <x:c r="N19" s="44" t="str">
        <x:v>深灰色，细粒结构，裂隙间断发育；模拟围岩段</x:v>
      </x:c>
      <x:c r="O19" s="56" t="n">
        <x:v>2.44</x:v>
      </x:c>
      <x:c r="P19" s="44" t="str">
        <x:v>无附加原列值（模拟）</x:v>
      </x:c>
    </x:row>
    <x:row r="20" ht="23" customHeight="1">
      <x:c r="A20" s="49" t="n">
        <x:f>IF(B20="","",ROW()-5)</x:f>
        <x:v>15</x:v>
      </x:c>
      <x:c r="B20" s="53" t="str">
        <x:v>15</x:v>
      </x:c>
      <x:c r="C20" s="53" t="str">
        <x:v>R047</x:v>
      </x:c>
      <x:c r="D20" s="56" t="n">
        <x:v>2</x:v>
      </x:c>
      <x:c r="E20" s="53" t="str">
        <x:v>R050</x:v>
      </x:c>
      <x:c r="F20" s="56" t="n">
        <x:v>3</x:v>
      </x:c>
      <x:c r="G20" s="56" t="n">
        <x:v>150</x:v>
      </x:c>
      <x:c r="H20" s="56" t="n">
        <x:v>10</x:v>
      </x:c>
      <x:c r="I20" s="56" t="n">
        <x:v>8</x:v>
      </x:c>
      <x:c r="J20" s="58" t="n">
        <x:f>IF(OR(H20="",I20="",H20&lt;=0),"",I20/H20*100)</x:f>
        <x:v>80</x:v>
      </x:c>
      <x:c r="K20" s="44" t="str">
        <x:v>砂岩夹粉砂岩</x:v>
      </x:c>
      <x:c r="L20" s="56" t="n">
        <x:v>48.95</x:v>
      </x:c>
      <x:c r="M20" s="56" t="n">
        <x:v>6.57</x:v>
      </x:c>
      <x:c r="N20" s="44" t="str">
        <x:v>灰色，中细粒结构，层理清晰；模拟围岩段</x:v>
      </x:c>
      <x:c r="O20" s="56" t="n">
        <x:v>2.48</x:v>
      </x:c>
      <x:c r="P20" s="44" t="str">
        <x:v>无附加原列值（模拟）</x:v>
      </x:c>
    </x:row>
    <x:row r="21" ht="23" customHeight="1">
      <x:c r="A21" s="49" t="n">
        <x:f>IF(B21="","",ROW()-5)</x:f>
        <x:v>16</x:v>
      </x:c>
      <x:c r="B21" s="53" t="str">
        <x:v>16</x:v>
      </x:c>
      <x:c r="C21" s="53" t="str">
        <x:v>R051</x:v>
      </x:c>
      <x:c r="D21" s="56" t="n">
        <x:v>0</x:v>
      </x:c>
      <x:c r="E21" s="53" t="str">
        <x:v>R054</x:v>
      </x:c>
      <x:c r="F21" s="56" t="n">
        <x:v>1</x:v>
      </x:c>
      <x:c r="G21" s="56" t="n">
        <x:v>160</x:v>
      </x:c>
      <x:c r="H21" s="56" t="n">
        <x:v>10</x:v>
      </x:c>
      <x:c r="I21" s="56" t="n">
        <x:v>9.32</x:v>
      </x:c>
      <x:c r="J21" s="58" t="n">
        <x:f>IF(OR(H21="",I21="",H21&lt;=0),"",I21/H21*100)</x:f>
        <x:v>93.2</x:v>
      </x:c>
      <x:c r="K21" s="44" t="str">
        <x:v>泥岩夹泥质粉砂岩</x:v>
      </x:c>
      <x:c r="L21" s="56" t="n">
        <x:v>51.76</x:v>
      </x:c>
      <x:c r="M21" s="56" t="n">
        <x:v>6.19</x:v>
      </x:c>
      <x:c r="N21" s="44" t="str">
        <x:v>灰黑色，薄层状，局部泥质条带；模拟围岩段</x:v>
      </x:c>
      <x:c r="O21" s="56" t="n">
        <x:v>2.89</x:v>
      </x:c>
      <x:c r="P21" s="44" t="str">
        <x:v>无附加原列值（模拟）</x:v>
      </x:c>
    </x:row>
    <x:row r="22" ht="23" customHeight="1">
      <x:c r="A22" s="49" t="n">
        <x:f>IF(B22="","",ROW()-5)</x:f>
        <x:v>17</x:v>
      </x:c>
      <x:c r="B22" s="53" t="str">
        <x:v>17</x:v>
      </x:c>
      <x:c r="C22" s="53" t="str">
        <x:v>R054</x:v>
      </x:c>
      <x:c r="D22" s="56" t="n">
        <x:v>1</x:v>
      </x:c>
      <x:c r="E22" s="53" t="str">
        <x:v>R057</x:v>
      </x:c>
      <x:c r="F22" s="56" t="n">
        <x:v>2</x:v>
      </x:c>
      <x:c r="G22" s="56" t="n">
        <x:v>170</x:v>
      </x:c>
      <x:c r="H22" s="56" t="n">
        <x:v>10</x:v>
      </x:c>
      <x:c r="I22" s="56" t="n">
        <x:v>8.92</x:v>
      </x:c>
      <x:c r="J22" s="58" t="n">
        <x:f>IF(OR(H22="",I22="",H22&lt;=0),"",I22/H22*100)</x:f>
        <x:v>89.2</x:v>
      </x:c>
      <x:c r="K22" s="44" t="str">
        <x:v>泥岩、泥质粉砂岩</x:v>
      </x:c>
      <x:c r="L22" s="56" t="n">
        <x:v>54.93</x:v>
      </x:c>
      <x:c r="M22" s="56" t="n">
        <x:v>5.75</x:v>
      </x:c>
      <x:c r="N22" s="44" t="str">
        <x:v>深灰色，细粒结构，裂隙间断发育；模拟矿化段，细脉状浸染</x:v>
      </x:c>
      <x:c r="O22" s="56" t="n">
        <x:v>2.44</x:v>
      </x:c>
      <x:c r="P22" s="44" t="str">
        <x:v>无附加原列值（模拟）</x:v>
      </x:c>
    </x:row>
    <x:row r="23" ht="23" customHeight="1">
      <x:c r="A23" s="49" t="n">
        <x:f>IF(B23="","",ROW()-5)</x:f>
        <x:v>18</x:v>
      </x:c>
      <x:c r="B23" s="53" t="str">
        <x:v>18</x:v>
      </x:c>
      <x:c r="C23" s="53" t="str">
        <x:v>R057</x:v>
      </x:c>
      <x:c r="D23" s="56" t="n">
        <x:v>2</x:v>
      </x:c>
      <x:c r="E23" s="53" t="str">
        <x:v>R060</x:v>
      </x:c>
      <x:c r="F23" s="56" t="n">
        <x:v>3</x:v>
      </x:c>
      <x:c r="G23" s="56" t="n">
        <x:v>180</x:v>
      </x:c>
      <x:c r="H23" s="56" t="n">
        <x:v>10</x:v>
      </x:c>
      <x:c r="I23" s="56" t="n">
        <x:v>8</x:v>
      </x:c>
      <x:c r="J23" s="58" t="n">
        <x:f>IF(OR(H23="",I23="",H23&lt;=0),"",I23/H23*100)</x:f>
        <x:v>80</x:v>
      </x:c>
      <x:c r="K23" s="44" t="str">
        <x:v>砂岩夹粉砂岩</x:v>
      </x:c>
      <x:c r="L23" s="56" t="n">
        <x:v>57.95</x:v>
      </x:c>
      <x:c r="M23" s="56" t="n">
        <x:v>5.31</x:v>
      </x:c>
      <x:c r="N23" s="44" t="str">
        <x:v>灰色，中细粒结构，层理清晰；模拟矿化段，细脉状浸染</x:v>
      </x:c>
      <x:c r="O23" s="56" t="n">
        <x:v>2.48</x:v>
      </x:c>
      <x:c r="P23" s="44" t="str">
        <x:v>无附加原列值（模拟）</x:v>
      </x:c>
    </x:row>
    <x:row r="24" ht="23" customHeight="1">
      <x:c r="A24" s="49" t="n">
        <x:f>IF(B24="","",ROW()-5)</x:f>
        <x:v>19</x:v>
      </x:c>
      <x:c r="B24" s="53" t="str">
        <x:v>19</x:v>
      </x:c>
      <x:c r="C24" s="53" t="str">
        <x:v>R061</x:v>
      </x:c>
      <x:c r="D24" s="56" t="n">
        <x:v>0</x:v>
      </x:c>
      <x:c r="E24" s="53" t="str">
        <x:v>R064</x:v>
      </x:c>
      <x:c r="F24" s="56" t="n">
        <x:v>1</x:v>
      </x:c>
      <x:c r="G24" s="56" t="n">
        <x:v>190</x:v>
      </x:c>
      <x:c r="H24" s="56" t="n">
        <x:v>10</x:v>
      </x:c>
      <x:c r="I24" s="56" t="n">
        <x:v>9.33</x:v>
      </x:c>
      <x:c r="J24" s="58" t="n">
        <x:f>IF(OR(H24="",I24="",H24&lt;=0),"",I24/H24*100)</x:f>
        <x:v>93.30000000000001</x:v>
      </x:c>
      <x:c r="K24" s="44" t="str">
        <x:v>泥岩夹泥质粉砂岩</x:v>
      </x:c>
      <x:c r="L24" s="56" t="n">
        <x:v>60.35</x:v>
      </x:c>
      <x:c r="M24" s="56" t="n">
        <x:v>4.95</x:v>
      </x:c>
      <x:c r="N24" s="44" t="str">
        <x:v>灰黑色，薄层状，局部泥质条带；模拟围岩段</x:v>
      </x:c>
      <x:c r="O24" s="56" t="n">
        <x:v>2.89</x:v>
      </x:c>
      <x:c r="P24" s="44" t="str">
        <x:v>无附加原列值（模拟）</x:v>
      </x:c>
    </x:row>
    <x:row r="25" ht="23" customHeight="1">
      <x:c r="A25" s="49" t="n">
        <x:f>IF(B25="","",ROW()-5)</x:f>
        <x:v>20</x:v>
      </x:c>
      <x:c r="B25" s="54" t="str">
        <x:v>20</x:v>
      </x:c>
      <x:c r="C25" s="54" t="str">
        <x:v>R064</x:v>
      </x:c>
      <x:c r="D25" s="57" t="n">
        <x:v>1</x:v>
      </x:c>
      <x:c r="E25" s="54" t="str">
        <x:v>R067</x:v>
      </x:c>
      <x:c r="F25" s="57" t="n">
        <x:v>2</x:v>
      </x:c>
      <x:c r="G25" s="57" t="n">
        <x:v>200</x:v>
      </x:c>
      <x:c r="H25" s="57" t="n">
        <x:v>10</x:v>
      </x:c>
      <x:c r="I25" s="57" t="n">
        <x:v>8.91</x:v>
      </x:c>
      <x:c r="J25" s="58" t="n">
        <x:f>IF(OR(H25="",I25="",H25&lt;=0),"",I25/H25*100)</x:f>
        <x:v>89.1</x:v>
      </x:c>
      <x:c r="K25" s="45" t="str">
        <x:v>泥岩、泥质粉砂岩</x:v>
      </x:c>
      <x:c r="L25" s="57" t="n">
        <x:v>61.74</x:v>
      </x:c>
      <x:c r="M25" s="57" t="n">
        <x:v>4.73</x:v>
      </x:c>
      <x:c r="N25" s="45" t="str">
        <x:v>深灰色，细粒结构，裂隙间断发育；模拟围岩段</x:v>
      </x:c>
      <x:c r="O25" s="57" t="n">
        <x:v>2.43</x:v>
      </x:c>
      <x:c r="P25" s="45" t="str">
        <x:v>无附加原列值（模拟）</x:v>
      </x:c>
    </x:row>
    <x:row r="26">
      <x:c r="A26" s="49" t="n">
        <x:f>IF(B26="","",ROW()-5)</x:f>
        <x:v>21</x:v>
      </x:c>
      <x:c r="B26" s="54" t="str">
        <x:v>21</x:v>
      </x:c>
      <x:c r="C26" s="54" t="str">
        <x:v>R067</x:v>
      </x:c>
      <x:c r="D26" s="57" t="n">
        <x:v>2</x:v>
      </x:c>
      <x:c r="E26" s="54" t="str">
        <x:v>R070</x:v>
      </x:c>
      <x:c r="F26" s="57" t="n">
        <x:v>3</x:v>
      </x:c>
      <x:c r="G26" s="57" t="n">
        <x:v>210</x:v>
      </x:c>
      <x:c r="H26" s="57" t="n">
        <x:v>10</x:v>
      </x:c>
      <x:c r="I26" s="57" t="n">
        <x:v>8.02</x:v>
      </x:c>
      <x:c r="J26" s="58" t="n">
        <x:f>IF(OR(H26="",I26="",H26&lt;=0),"",I26/H26*100)</x:f>
        <x:v>80.19999999999999</x:v>
      </x:c>
      <x:c r="K26" s="45" t="str">
        <x:v>砂岩夹粉砂岩</x:v>
      </x:c>
      <x:c r="L26" s="57" t="n">
        <x:v>61.91</x:v>
      </x:c>
      <x:c r="M26" s="57" t="n">
        <x:v>4.71</x:v>
      </x:c>
      <x:c r="N26" s="45" t="str">
        <x:v>灰色，中细粒结构，层理清晰；模拟围岩段</x:v>
      </x:c>
      <x:c r="O26" s="57" t="n">
        <x:v>2.49</x:v>
      </x:c>
      <x:c r="P26" s="45" t="str">
        <x:v>无附加原列值（模拟）</x:v>
      </x:c>
    </x:row>
    <x:row r="27">
      <x:c r="A27" s="49" t="n">
        <x:f>IF(B27="","",ROW()-5)</x:f>
        <x:v>22</x:v>
      </x:c>
      <x:c r="B27" s="54" t="str">
        <x:v>22</x:v>
      </x:c>
      <x:c r="C27" s="54" t="str">
        <x:v>R071</x:v>
      </x:c>
      <x:c r="D27" s="57" t="n">
        <x:v>0</x:v>
      </x:c>
      <x:c r="E27" s="54" t="str">
        <x:v>R074</x:v>
      </x:c>
      <x:c r="F27" s="57" t="n">
        <x:v>1</x:v>
      </x:c>
      <x:c r="G27" s="57" t="n">
        <x:v>220</x:v>
      </x:c>
      <x:c r="H27" s="57" t="n">
        <x:v>10</x:v>
      </x:c>
      <x:c r="I27" s="57" t="n">
        <x:v>9.34</x:v>
      </x:c>
      <x:c r="J27" s="58" t="n">
        <x:f>IF(OR(H27="",I27="",H27&lt;=0),"",I27/H27*100)</x:f>
        <x:v>93.39999999999999</x:v>
      </x:c>
      <x:c r="K27" s="45" t="str">
        <x:v>泥岩夹泥质粉砂岩</x:v>
      </x:c>
      <x:c r="L27" s="57" t="n">
        <x:v>60.84</x:v>
      </x:c>
      <x:c r="M27" s="57" t="n">
        <x:v>4.87</x:v>
      </x:c>
      <x:c r="N27" s="45" t="str">
        <x:v>灰黑色，薄层状，局部泥质条带；模拟围岩段</x:v>
      </x:c>
      <x:c r="O27" s="57" t="n">
        <x:v>2.88</x:v>
      </x:c>
      <x:c r="P27" s="45" t="str">
        <x:v>无附加原列值（模拟）</x:v>
      </x:c>
    </x:row>
    <x:row r="28">
      <x:c r="A28" s="49" t="n">
        <x:f>IF(B28="","",ROW()-5)</x:f>
        <x:v>23</x:v>
      </x:c>
      <x:c r="B28" s="54" t="str">
        <x:v>23</x:v>
      </x:c>
      <x:c r="C28" s="54" t="str">
        <x:v>R074</x:v>
      </x:c>
      <x:c r="D28" s="57" t="n">
        <x:v>1</x:v>
      </x:c>
      <x:c r="E28" s="54" t="str">
        <x:v>R077</x:v>
      </x:c>
      <x:c r="F28" s="57" t="n">
        <x:v>2</x:v>
      </x:c>
      <x:c r="G28" s="57" t="n">
        <x:v>230</x:v>
      </x:c>
      <x:c r="H28" s="57" t="n">
        <x:v>10</x:v>
      </x:c>
      <x:c r="I28" s="57" t="n">
        <x:v>8.89</x:v>
      </x:c>
      <x:c r="J28" s="58" t="n">
        <x:f>IF(OR(H28="",I28="",H28&lt;=0),"",I28/H28*100)</x:f>
        <x:v>88.9</x:v>
      </x:c>
      <x:c r="K28" s="45" t="str">
        <x:v>泥岩、泥质粉砂岩</x:v>
      </x:c>
      <x:c r="L28" s="57" t="n">
        <x:v>58.68</x:v>
      </x:c>
      <x:c r="M28" s="57" t="n">
        <x:v>5.2</x:v>
      </x:c>
      <x:c r="N28" s="45" t="str">
        <x:v>深灰色，细粒结构，裂隙间断发育；模拟围岩段</x:v>
      </x:c>
      <x:c r="O28" s="57" t="n">
        <x:v>2.43</x:v>
      </x:c>
      <x:c r="P28" s="45" t="str">
        <x:v>无附加原列值（模拟）</x:v>
      </x:c>
    </x:row>
    <x:row r="29">
      <x:c r="A29" s="49" t="n">
        <x:f>IF(B29="","",ROW()-5)</x:f>
        <x:v>24</x:v>
      </x:c>
      <x:c r="B29" s="54" t="str">
        <x:v>24</x:v>
      </x:c>
      <x:c r="C29" s="54" t="str">
        <x:v>R077</x:v>
      </x:c>
      <x:c r="D29" s="57" t="n">
        <x:v>2</x:v>
      </x:c>
      <x:c r="E29" s="54" t="str">
        <x:v>R080</x:v>
      </x:c>
      <x:c r="F29" s="57" t="n">
        <x:v>3</x:v>
      </x:c>
      <x:c r="G29" s="57" t="n">
        <x:v>240</x:v>
      </x:c>
      <x:c r="H29" s="57" t="n">
        <x:v>10</x:v>
      </x:c>
      <x:c r="I29" s="57" t="n">
        <x:v>8.01</x:v>
      </x:c>
      <x:c r="J29" s="58" t="n">
        <x:f>IF(OR(H29="",I29="",H29&lt;=0),"",I29/H29*100)</x:f>
        <x:v>80.1</x:v>
      </x:c>
      <x:c r="K29" s="45" t="str">
        <x:v>砂岩夹粉砂岩</x:v>
      </x:c>
      <x:c r="L29" s="57" t="n">
        <x:v>55.78</x:v>
      </x:c>
      <x:c r="M29" s="57" t="n">
        <x:v>5.62</x:v>
      </x:c>
      <x:c r="N29" s="45" t="str">
        <x:v>灰色，中细粒结构，层理清晰；模拟围岩段</x:v>
      </x:c>
      <x:c r="O29" s="57" t="n">
        <x:v>2.49</x:v>
      </x:c>
      <x:c r="P29" s="45" t="str">
        <x:v>无附加原列值（模拟）</x:v>
      </x:c>
    </x:row>
    <x:row r="30">
      <x:c r="A30" s="49" t="n">
        <x:f>IF(B30="","",ROW()-5)</x:f>
        <x:v>25</x:v>
      </x:c>
      <x:c r="B30" s="54" t="str">
        <x:v>25</x:v>
      </x:c>
      <x:c r="C30" s="54" t="str">
        <x:v>R081</x:v>
      </x:c>
      <x:c r="D30" s="57" t="n">
        <x:v>0</x:v>
      </x:c>
      <x:c r="E30" s="54" t="str">
        <x:v>R084</x:v>
      </x:c>
      <x:c r="F30" s="57" t="n">
        <x:v>1</x:v>
      </x:c>
      <x:c r="G30" s="57" t="n">
        <x:v>250</x:v>
      </x:c>
      <x:c r="H30" s="57" t="n">
        <x:v>10</x:v>
      </x:c>
      <x:c r="I30" s="57" t="n">
        <x:v>9.35</x:v>
      </x:c>
      <x:c r="J30" s="58" t="n">
        <x:f>IF(OR(H30="",I30="",H30&lt;=0),"",I30/H30*100)</x:f>
        <x:v>93.5</x:v>
      </x:c>
      <x:c r="K30" s="45" t="str">
        <x:v>泥岩夹泥质粉砂岩</x:v>
      </x:c>
      <x:c r="L30" s="57" t="n">
        <x:v>52.61</x:v>
      </x:c>
      <x:c r="M30" s="57" t="n">
        <x:v>6.07</x:v>
      </x:c>
      <x:c r="N30" s="45" t="str">
        <x:v>灰黑色，薄层状，局部泥质条带；模拟矿化段，细脉状浸染</x:v>
      </x:c>
      <x:c r="O30" s="57" t="n">
        <x:v>2.88</x:v>
      </x:c>
      <x:c r="P30" s="45" t="str">
        <x:v>无附加原列值（模拟）</x:v>
      </x:c>
    </x:row>
    <x:row r="31">
      <x:c r="A31" s="49" t="n">
        <x:f>IF(B31="","",ROW()-5)</x:f>
        <x:v>26</x:v>
      </x:c>
      <x:c r="B31" s="54" t="str">
        <x:v>26</x:v>
      </x:c>
      <x:c r="C31" s="54" t="str">
        <x:v>R084</x:v>
      </x:c>
      <x:c r="D31" s="57" t="n">
        <x:v>1</x:v>
      </x:c>
      <x:c r="E31" s="54" t="str">
        <x:v>R087</x:v>
      </x:c>
      <x:c r="F31" s="57" t="n">
        <x:v>2</x:v>
      </x:c>
      <x:c r="G31" s="57" t="n">
        <x:v>260</x:v>
      </x:c>
      <x:c r="H31" s="57" t="n">
        <x:v>10</x:v>
      </x:c>
      <x:c r="I31" s="57" t="n">
        <x:v>8.88</x:v>
      </x:c>
      <x:c r="J31" s="58" t="n">
        <x:f>IF(OR(H31="",I31="",H31&lt;=0),"",I31/H31*100)</x:f>
        <x:v>88.80000000000001</x:v>
      </x:c>
      <x:c r="K31" s="45" t="str">
        <x:v>泥岩、泥质粉砂岩</x:v>
      </x:c>
      <x:c r="L31" s="57" t="n">
        <x:v>49.65</x:v>
      </x:c>
      <x:c r="M31" s="57" t="n">
        <x:v>6.47</x:v>
      </x:c>
      <x:c r="N31" s="45" t="str">
        <x:v>深灰色，细粒结构，裂隙间断发育；模拟矿化段，细脉状浸染</x:v>
      </x:c>
      <x:c r="O31" s="57" t="n">
        <x:v>2.43</x:v>
      </x:c>
      <x:c r="P31" s="45" t="str">
        <x:v>无附加原列值（模拟）</x:v>
      </x:c>
    </x:row>
    <x:row r="32">
      <x:c r="A32" s="49" t="n">
        <x:f>IF(B32="","",ROW()-5)</x:f>
        <x:v>27</x:v>
      </x:c>
      <x:c r="B32" s="54" t="str">
        <x:v>27</x:v>
      </x:c>
      <x:c r="C32" s="54" t="str">
        <x:v>R087</x:v>
      </x:c>
      <x:c r="D32" s="57" t="n">
        <x:v>2</x:v>
      </x:c>
      <x:c r="E32" s="54" t="str">
        <x:v>R090</x:v>
      </x:c>
      <x:c r="F32" s="57" t="n">
        <x:v>3</x:v>
      </x:c>
      <x:c r="G32" s="57" t="n">
        <x:v>270</x:v>
      </x:c>
      <x:c r="H32" s="57" t="n">
        <x:v>10</x:v>
      </x:c>
      <x:c r="I32" s="57" t="n">
        <x:v>8.01</x:v>
      </x:c>
      <x:c r="J32" s="58" t="n">
        <x:f>IF(OR(H32="",I32="",H32&lt;=0),"",I32/H32*100)</x:f>
        <x:v>80.1</x:v>
      </x:c>
      <x:c r="K32" s="45" t="str">
        <x:v>砂岩夹粉砂岩</x:v>
      </x:c>
      <x:c r="L32" s="57" t="n">
        <x:v>47.38</x:v>
      </x:c>
      <x:c r="M32" s="57" t="n">
        <x:v>6.77</x:v>
      </x:c>
      <x:c r="N32" s="45" t="str">
        <x:v>灰色，中细粒结构，层理清晰；模拟围岩段</x:v>
      </x:c>
      <x:c r="O32" s="57" t="n">
        <x:v>2.49</x:v>
      </x:c>
      <x:c r="P32" s="45" t="str">
        <x:v>无附加原列值（模拟）</x:v>
      </x:c>
    </x:row>
    <x:row r="33">
      <x:c r="A33" s="49" t="n">
        <x:f>IF(B33="","",ROW()-5)</x:f>
        <x:v>28</x:v>
      </x:c>
      <x:c r="B33" s="54" t="str">
        <x:v>28</x:v>
      </x:c>
      <x:c r="C33" s="54" t="str">
        <x:v>R091</x:v>
      </x:c>
      <x:c r="D33" s="57" t="n">
        <x:v>0</x:v>
      </x:c>
      <x:c r="E33" s="54" t="str">
        <x:v>R094</x:v>
      </x:c>
      <x:c r="F33" s="57" t="n">
        <x:v>1</x:v>
      </x:c>
      <x:c r="G33" s="57" t="n">
        <x:v>280</x:v>
      </x:c>
      <x:c r="H33" s="57" t="n">
        <x:v>10</x:v>
      </x:c>
      <x:c r="I33" s="57" t="n">
        <x:v>9.37</x:v>
      </x:c>
      <x:c r="J33" s="58" t="n">
        <x:f>IF(OR(H33="",I33="",H33&lt;=0),"",I33/H33*100)</x:f>
        <x:v>93.69999999999999</x:v>
      </x:c>
      <x:c r="K33" s="45" t="str">
        <x:v>泥岩夹泥质粉砂岩</x:v>
      </x:c>
      <x:c r="L33" s="57" t="n">
        <x:v>46.15</x:v>
      </x:c>
      <x:c r="M33" s="57" t="n">
        <x:v>6.93</x:v>
      </x:c>
      <x:c r="N33" s="45" t="str">
        <x:v>灰黑色，薄层状，局部泥质条带；模拟围岩段</x:v>
      </x:c>
      <x:c r="O33" s="57" t="n">
        <x:v>2.88</x:v>
      </x:c>
      <x:c r="P33" s="45" t="str">
        <x:v>无附加原列值（模拟）</x:v>
      </x:c>
    </x:row>
    <x:row r="34">
      <x:c r="A34" s="49" t="n">
        <x:f>IF(B34="","",ROW()-5)</x:f>
        <x:v>29</x:v>
      </x:c>
      <x:c r="B34" s="54" t="str">
        <x:v>29</x:v>
      </x:c>
      <x:c r="C34" s="54" t="str">
        <x:v>R094</x:v>
      </x:c>
      <x:c r="D34" s="57" t="n">
        <x:v>1</x:v>
      </x:c>
      <x:c r="E34" s="54" t="str">
        <x:v>R097</x:v>
      </x:c>
      <x:c r="F34" s="57" t="n">
        <x:v>2</x:v>
      </x:c>
      <x:c r="G34" s="57" t="n">
        <x:v>290</x:v>
      </x:c>
      <x:c r="H34" s="57" t="n">
        <x:v>10</x:v>
      </x:c>
      <x:c r="I34" s="57" t="n">
        <x:v>8.86</x:v>
      </x:c>
      <x:c r="J34" s="58" t="n">
        <x:f>IF(OR(H34="",I34="",H34&lt;=0),"",I34/H34*100)</x:f>
        <x:v>88.6</x:v>
      </x:c>
      <x:c r="K34" s="45" t="str">
        <x:v>泥岩、泥质粉砂岩</x:v>
      </x:c>
      <x:c r="L34" s="57" t="n">
        <x:v>46.17</x:v>
      </x:c>
      <x:c r="M34" s="57" t="n">
        <x:v>6.93</x:v>
      </x:c>
      <x:c r="N34" s="45" t="str">
        <x:v>深灰色，细粒结构，裂隙间断发育；模拟围岩段</x:v>
      </x:c>
      <x:c r="O34" s="57" t="n">
        <x:v>2.42</x:v>
      </x:c>
      <x:c r="P34" s="45" t="str">
        <x:v>无附加原列值（模拟）</x:v>
      </x:c>
    </x:row>
    <x:row r="35">
      <x:c r="A35" s="49" t="n">
        <x:f>IF(B35="","",ROW()-5)</x:f>
        <x:v>30</x:v>
      </x:c>
      <x:c r="B35" s="54" t="str">
        <x:v>30</x:v>
      </x:c>
      <x:c r="C35" s="54" t="str">
        <x:v>R097</x:v>
      </x:c>
      <x:c r="D35" s="57" t="n">
        <x:v>2</x:v>
      </x:c>
      <x:c r="E35" s="54" t="str">
        <x:v>R100</x:v>
      </x:c>
      <x:c r="F35" s="57" t="n">
        <x:v>3</x:v>
      </x:c>
      <x:c r="G35" s="57" t="n">
        <x:v>300</x:v>
      </x:c>
      <x:c r="H35" s="57" t="n">
        <x:v>10</x:v>
      </x:c>
      <x:c r="I35" s="57" t="n">
        <x:v>8.02</x:v>
      </x:c>
      <x:c r="J35" s="58" t="n">
        <x:f>IF(OR(H35="",I35="",H35&lt;=0),"",I35/H35*100)</x:f>
        <x:v>80.19999999999999</x:v>
      </x:c>
      <x:c r="K35" s="45" t="str">
        <x:v>砂岩夹粉砂岩</x:v>
      </x:c>
      <x:c r="L35" s="57" t="n">
        <x:v>47.42</x:v>
      </x:c>
      <x:c r="M35" s="57" t="n">
        <x:v>6.77</x:v>
      </x:c>
      <x:c r="N35" s="45" t="str">
        <x:v>灰色，中细粒结构，层理清晰；模拟围岩段</x:v>
      </x:c>
      <x:c r="O35" s="57" t="n">
        <x:v>2.5</x:v>
      </x:c>
      <x:c r="P35" s="45" t="str">
        <x:v>无附加原列值（模拟）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18" hidden="0" customWidth="1"/>
    <x:col min="11" max="11" width="18" hidden="0" customWidth="1"/>
  </x:cols>
  <x:sheetData>
    <x:row r="1" ht="24" customHeight="1">
      <x:c r="A1" s="3" t="str">
        <x:v>分层-地质综合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保留源表多行表头字段的平铺写法；独立人工综合，不自动引用或覆盖“分层-原始记录”，不自动计算真厚度。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34" customHeight="1">
      <x:c r="A5" s="31" t="str">
        <x:v>序号</x:v>
      </x:c>
      <x:c r="B5" s="31" t="str">
        <x:v>起回次号</x:v>
      </x:c>
      <x:c r="C5" s="31" t="str">
        <x:v>起位置_m</x:v>
      </x:c>
      <x:c r="D5" s="31" t="str">
        <x:v>止回次号</x:v>
      </x:c>
      <x:c r="E5" s="31" t="str">
        <x:v>止位置_m</x:v>
      </x:c>
      <x:c r="F5" s="31" t="str">
        <x:v>换层孔深_m</x:v>
      </x:c>
      <x:c r="G5" s="31" t="str">
        <x:v>分层进尺_m</x:v>
      </x:c>
      <x:c r="H5" s="31" t="str">
        <x:v>分层岩心长_m</x:v>
      </x:c>
      <x:c r="I5" s="31" t="str">
        <x:v>分层采取率_pct（计算）</x:v>
      </x:c>
      <x:c r="J5" s="31" t="str">
        <x:v>平均轴夹角_deg</x:v>
      </x:c>
      <x:c r="K5" s="31" t="str">
        <x:v>真厚度_m（原填）</x:v>
      </x:c>
    </x:row>
    <x:row r="6" ht="23" customHeight="1">
      <x:c r="A6" s="49" t="n">
        <x:f>IF(COUNTA(B6:K6)=0,"",ROW()-5)</x:f>
        <x:v>1</x:v>
      </x:c>
      <x:c r="B6" s="52" t="str">
        <x:v>R001</x:v>
      </x:c>
      <x:c r="C6" s="55" t="n">
        <x:v>0</x:v>
      </x:c>
      <x:c r="D6" s="55" t="str">
        <x:v>R004</x:v>
      </x:c>
      <x:c r="E6" s="55" t="n">
        <x:v>1</x:v>
      </x:c>
      <x:c r="F6" s="43" t="n">
        <x:v>10</x:v>
      </x:c>
      <x:c r="G6" s="43" t="n">
        <x:v>10</x:v>
      </x:c>
      <x:c r="H6" s="55" t="n">
        <x:v>9.28</x:v>
      </x:c>
      <x:c r="I6" s="58" t="n">
        <x:f>IF(OR(G6="",H6="",G6&lt;=0),"",H6/G6*100)</x:f>
        <x:v>92.8</x:v>
      </x:c>
      <x:c r="J6" s="55" t="n">
        <x:v>54</x:v>
      </x:c>
      <x:c r="K6" s="55" t="n">
        <x:v>5.88</x:v>
      </x:c>
    </x:row>
    <x:row r="7" ht="23" customHeight="1">
      <x:c r="A7" s="49" t="n">
        <x:f>IF(COUNTA(B7:K7)=0,"",ROW()-5)</x:f>
        <x:v>2</x:v>
      </x:c>
      <x:c r="B7" s="53" t="str">
        <x:v>R004</x:v>
      </x:c>
      <x:c r="C7" s="56" t="n">
        <x:v>1</x:v>
      </x:c>
      <x:c r="D7" s="56" t="str">
        <x:v>R007</x:v>
      </x:c>
      <x:c r="E7" s="56" t="n">
        <x:v>2</x:v>
      </x:c>
      <x:c r="F7" s="44" t="n">
        <x:v>20</x:v>
      </x:c>
      <x:c r="G7" s="44" t="n">
        <x:v>10</x:v>
      </x:c>
      <x:c r="H7" s="56" t="n">
        <x:v>8.98</x:v>
      </x:c>
      <x:c r="I7" s="58" t="n">
        <x:f>IF(OR(G7="",H7="",G7&lt;=0),"",H7/G7*100)</x:f>
        <x:v>89.8</x:v>
      </x:c>
      <x:c r="J7" s="56" t="n">
        <x:v>57.12</x:v>
      </x:c>
      <x:c r="K7" s="56" t="n">
        <x:v>5.43</x:v>
      </x:c>
    </x:row>
    <x:row r="8" ht="23" customHeight="1">
      <x:c r="A8" s="49" t="n">
        <x:f>IF(COUNTA(B8:K8)=0,"",ROW()-5)</x:f>
        <x:v>3</x:v>
      </x:c>
      <x:c r="B8" s="53" t="str">
        <x:v>R007</x:v>
      </x:c>
      <x:c r="C8" s="56" t="n">
        <x:v>2</x:v>
      </x:c>
      <x:c r="D8" s="56" t="str">
        <x:v>R010</x:v>
      </x:c>
      <x:c r="E8" s="56" t="n">
        <x:v>3</x:v>
      </x:c>
      <x:c r="F8" s="44" t="n">
        <x:v>30</x:v>
      </x:c>
      <x:c r="G8" s="44" t="n">
        <x:v>10</x:v>
      </x:c>
      <x:c r="H8" s="56" t="n">
        <x:v>7.99</x:v>
      </x:c>
      <x:c r="I8" s="58" t="n">
        <x:f>IF(OR(G8="",H8="",G8&lt;=0),"",H8/G8*100)</x:f>
        <x:v>79.9</x:v>
      </x:c>
      <x:c r="J8" s="56" t="n">
        <x:v>59.74</x:v>
      </x:c>
      <x:c r="K8" s="56" t="n">
        <x:v>5.04</x:v>
      </x:c>
    </x:row>
    <x:row r="9" ht="23" customHeight="1">
      <x:c r="A9" s="49" t="n">
        <x:f>IF(COUNTA(B9:K9)=0,"",ROW()-5)</x:f>
        <x:v>4</x:v>
      </x:c>
      <x:c r="B9" s="53" t="str">
        <x:v>R011</x:v>
      </x:c>
      <x:c r="C9" s="56" t="n">
        <x:v>0</x:v>
      </x:c>
      <x:c r="D9" s="56" t="str">
        <x:v>R014</x:v>
      </x:c>
      <x:c r="E9" s="56" t="n">
        <x:v>1</x:v>
      </x:c>
      <x:c r="F9" s="44" t="n">
        <x:v>40</x:v>
      </x:c>
      <x:c r="G9" s="44" t="n">
        <x:v>10</x:v>
      </x:c>
      <x:c r="H9" s="56" t="n">
        <x:v>9.29</x:v>
      </x:c>
      <x:c r="I9" s="58" t="n">
        <x:f>IF(OR(G9="",H9="",G9&lt;=0),"",H9/G9*100)</x:f>
        <x:v>92.89999999999999</x:v>
      </x:c>
      <x:c r="J9" s="56" t="n">
        <x:v>61.46</x:v>
      </x:c>
      <x:c r="K9" s="56" t="n">
        <x:v>4.78</x:v>
      </x:c>
    </x:row>
    <x:row r="10" ht="23" customHeight="1">
      <x:c r="A10" s="49" t="n">
        <x:f>IF(COUNTA(B10:K10)=0,"",ROW()-5)</x:f>
        <x:v>5</x:v>
      </x:c>
      <x:c r="B10" s="53" t="str">
        <x:v>R014</x:v>
      </x:c>
      <x:c r="C10" s="56" t="n">
        <x:v>1</x:v>
      </x:c>
      <x:c r="D10" s="56" t="str">
        <x:v>R017</x:v>
      </x:c>
      <x:c r="E10" s="56" t="n">
        <x:v>2</x:v>
      </x:c>
      <x:c r="F10" s="44" t="n">
        <x:v>50</x:v>
      </x:c>
      <x:c r="G10" s="44" t="n">
        <x:v>10</x:v>
      </x:c>
      <x:c r="H10" s="56" t="n">
        <x:v>8.97</x:v>
      </x:c>
      <x:c r="I10" s="58" t="n">
        <x:f>IF(OR(G10="",H10="",G10&lt;=0),"",H10/G10*100)</x:f>
        <x:v>89.7</x:v>
      </x:c>
      <x:c r="J10" s="56" t="n">
        <x:v>62</x:v>
      </x:c>
      <x:c r="K10" s="56" t="n">
        <x:v>4.69</x:v>
      </x:c>
    </x:row>
    <x:row r="11" ht="23" customHeight="1">
      <x:c r="A11" s="49" t="n">
        <x:f>IF(COUNTA(B11:K11)=0,"",ROW()-5)</x:f>
        <x:v>6</x:v>
      </x:c>
      <x:c r="B11" s="53" t="str">
        <x:v>R017</x:v>
      </x:c>
      <x:c r="C11" s="56" t="n">
        <x:v>2</x:v>
      </x:c>
      <x:c r="D11" s="56" t="str">
        <x:v>R020</x:v>
      </x:c>
      <x:c r="E11" s="56" t="n">
        <x:v>3</x:v>
      </x:c>
      <x:c r="F11" s="44" t="n">
        <x:v>60</x:v>
      </x:c>
      <x:c r="G11" s="44" t="n">
        <x:v>10</x:v>
      </x:c>
      <x:c r="H11" s="56" t="n">
        <x:v>7.99</x:v>
      </x:c>
      <x:c r="I11" s="58" t="n">
        <x:f>IF(OR(G11="",H11="",G11&lt;=0),"",H11/G11*100)</x:f>
        <x:v>79.9</x:v>
      </x:c>
      <x:c r="J11" s="56" t="n">
        <x:v>61.27</x:v>
      </x:c>
      <x:c r="K11" s="56" t="n">
        <x:v>4.81</x:v>
      </x:c>
    </x:row>
    <x:row r="12" ht="23" customHeight="1">
      <x:c r="A12" s="49" t="n">
        <x:f>IF(COUNTA(B12:K12)=0,"",ROW()-5)</x:f>
        <x:v>7</x:v>
      </x:c>
      <x:c r="B12" s="53" t="str">
        <x:v>R021</x:v>
      </x:c>
      <x:c r="C12" s="56" t="n">
        <x:v>0</x:v>
      </x:c>
      <x:c r="D12" s="56" t="str">
        <x:v>R024</x:v>
      </x:c>
      <x:c r="E12" s="56" t="n">
        <x:v>1</x:v>
      </x:c>
      <x:c r="F12" s="44" t="n">
        <x:v>70</x:v>
      </x:c>
      <x:c r="G12" s="44" t="n">
        <x:v>10</x:v>
      </x:c>
      <x:c r="H12" s="56" t="n">
        <x:v>9.29</x:v>
      </x:c>
      <x:c r="I12" s="58" t="n">
        <x:f>IF(OR(G12="",H12="",G12&lt;=0),"",H12/G12*100)</x:f>
        <x:v>92.89999999999999</x:v>
      </x:c>
      <x:c r="J12" s="56" t="n">
        <x:v>59.4</x:v>
      </x:c>
      <x:c r="K12" s="56" t="n">
        <x:v>5.09</x:v>
      </x:c>
    </x:row>
    <x:row r="13" ht="23" customHeight="1">
      <x:c r="A13" s="49" t="n">
        <x:f>IF(COUNTA(B13:K13)=0,"",ROW()-5)</x:f>
        <x:v>8</x:v>
      </x:c>
      <x:c r="B13" s="53" t="str">
        <x:v>R024</x:v>
      </x:c>
      <x:c r="C13" s="56" t="n">
        <x:v>1</x:v>
      </x:c>
      <x:c r="D13" s="56" t="str">
        <x:v>R027</x:v>
      </x:c>
      <x:c r="E13" s="56" t="n">
        <x:v>2</x:v>
      </x:c>
      <x:c r="F13" s="44" t="n">
        <x:v>80</x:v>
      </x:c>
      <x:c r="G13" s="44" t="n">
        <x:v>10</x:v>
      </x:c>
      <x:c r="H13" s="56" t="n">
        <x:v>8.95</x:v>
      </x:c>
      <x:c r="I13" s="58" t="n">
        <x:f>IF(OR(G13="",H13="",G13&lt;=0),"",H13/G13*100)</x:f>
        <x:v>89.49999999999999</x:v>
      </x:c>
      <x:c r="J13" s="56" t="n">
        <x:v>56.68</x:v>
      </x:c>
      <x:c r="K13" s="56" t="n">
        <x:v>5.49</x:v>
      </x:c>
    </x:row>
    <x:row r="14" ht="23" customHeight="1">
      <x:c r="A14" s="49" t="n">
        <x:f>IF(COUNTA(B14:K14)=0,"",ROW()-5)</x:f>
        <x:v>9</x:v>
      </x:c>
      <x:c r="B14" s="53" t="str">
        <x:v>R027</x:v>
      </x:c>
      <x:c r="C14" s="56" t="n">
        <x:v>2</x:v>
      </x:c>
      <x:c r="D14" s="56" t="str">
        <x:v>R030</x:v>
      </x:c>
      <x:c r="E14" s="56" t="n">
        <x:v>3</x:v>
      </x:c>
      <x:c r="F14" s="44" t="n">
        <x:v>90</x:v>
      </x:c>
      <x:c r="G14" s="44" t="n">
        <x:v>10</x:v>
      </x:c>
      <x:c r="H14" s="56" t="n">
        <x:v>8</x:v>
      </x:c>
      <x:c r="I14" s="58" t="n">
        <x:f>IF(OR(G14="",H14="",G14&lt;=0),"",H14/G14*100)</x:f>
        <x:v>80</x:v>
      </x:c>
      <x:c r="J14" s="56" t="n">
        <x:v>53.53</x:v>
      </x:c>
      <x:c r="K14" s="56" t="n">
        <x:v>5.94</x:v>
      </x:c>
    </x:row>
    <x:row r="15" ht="23" customHeight="1">
      <x:c r="A15" s="49" t="n">
        <x:f>IF(COUNTA(B15:K15)=0,"",ROW()-5)</x:f>
        <x:v>10</x:v>
      </x:c>
      <x:c r="B15" s="53" t="str">
        <x:v>R031</x:v>
      </x:c>
      <x:c r="C15" s="56" t="n">
        <x:v>0</x:v>
      </x:c>
      <x:c r="D15" s="56" t="str">
        <x:v>R034</x:v>
      </x:c>
      <x:c r="E15" s="56" t="n">
        <x:v>1</x:v>
      </x:c>
      <x:c r="F15" s="44" t="n">
        <x:v>100</x:v>
      </x:c>
      <x:c r="G15" s="44" t="n">
        <x:v>10</x:v>
      </x:c>
      <x:c r="H15" s="56" t="n">
        <x:v>9.3</x:v>
      </x:c>
      <x:c r="I15" s="58" t="n">
        <x:f>IF(OR(G15="",H15="",G15&lt;=0),"",H15/G15*100)</x:f>
        <x:v>93</x:v>
      </x:c>
      <x:c r="J15" s="56" t="n">
        <x:v>50.46</x:v>
      </x:c>
      <x:c r="K15" s="56" t="n">
        <x:v>6.37</x:v>
      </x:c>
    </x:row>
    <x:row r="16" ht="23" customHeight="1">
      <x:c r="A16" s="49" t="n">
        <x:f>IF(COUNTA(B16:K16)=0,"",ROW()-5)</x:f>
        <x:v>11</x:v>
      </x:c>
      <x:c r="B16" s="53" t="str">
        <x:v>R034</x:v>
      </x:c>
      <x:c r="C16" s="56" t="n">
        <x:v>1</x:v>
      </x:c>
      <x:c r="D16" s="56" t="str">
        <x:v>R037</x:v>
      </x:c>
      <x:c r="E16" s="56" t="n">
        <x:v>2</x:v>
      </x:c>
      <x:c r="F16" s="44" t="n">
        <x:v>110</x:v>
      </x:c>
      <x:c r="G16" s="44" t="n">
        <x:v>10</x:v>
      </x:c>
      <x:c r="H16" s="56" t="n">
        <x:v>8.94</x:v>
      </x:c>
      <x:c r="I16" s="58" t="n">
        <x:f>IF(OR(G16="",H16="",G16&lt;=0),"",H16/G16*100)</x:f>
        <x:v>89.39999999999999</x:v>
      </x:c>
      <x:c r="J16" s="56" t="n">
        <x:v>47.95</x:v>
      </x:c>
      <x:c r="K16" s="56" t="n">
        <x:v>6.7</x:v>
      </x:c>
    </x:row>
    <x:row r="17" ht="23" customHeight="1">
      <x:c r="A17" s="49" t="n">
        <x:f>IF(COUNTA(B17:K17)=0,"",ROW()-5)</x:f>
        <x:v>12</x:v>
      </x:c>
      <x:c r="B17" s="53" t="str">
        <x:v>R037</x:v>
      </x:c>
      <x:c r="C17" s="56" t="n">
        <x:v>2</x:v>
      </x:c>
      <x:c r="D17" s="56" t="str">
        <x:v>R040</x:v>
      </x:c>
      <x:c r="E17" s="56" t="n">
        <x:v>3</x:v>
      </x:c>
      <x:c r="F17" s="44" t="n">
        <x:v>120</x:v>
      </x:c>
      <x:c r="G17" s="44" t="n">
        <x:v>10</x:v>
      </x:c>
      <x:c r="H17" s="56" t="n">
        <x:v>7.99</x:v>
      </x:c>
      <x:c r="I17" s="58" t="n">
        <x:f>IF(OR(G17="",H17="",G17&lt;=0),"",H17/G17*100)</x:f>
        <x:v>79.9</x:v>
      </x:c>
      <x:c r="J17" s="56" t="n">
        <x:v>46.39</x:v>
      </x:c>
      <x:c r="K17" s="56" t="n">
        <x:v>6.9</x:v>
      </x:c>
    </x:row>
    <x:row r="18" ht="23" customHeight="1">
      <x:c r="A18" s="49" t="n">
        <x:f>IF(COUNTA(B18:K18)=0,"",ROW()-5)</x:f>
        <x:v>13</x:v>
      </x:c>
      <x:c r="B18" s="53" t="str">
        <x:v>R041</x:v>
      </x:c>
      <x:c r="C18" s="56" t="n">
        <x:v>0</x:v>
      </x:c>
      <x:c r="D18" s="56" t="str">
        <x:v>R044</x:v>
      </x:c>
      <x:c r="E18" s="56" t="n">
        <x:v>1</x:v>
      </x:c>
      <x:c r="F18" s="44" t="n">
        <x:v>130</x:v>
      </x:c>
      <x:c r="G18" s="44" t="n">
        <x:v>10</x:v>
      </x:c>
      <x:c r="H18" s="56" t="n">
        <x:v>9.31</x:v>
      </x:c>
      <x:c r="I18" s="58" t="n">
        <x:f>IF(OR(G18="",H18="",G18&lt;=0),"",H18/G18*100)</x:f>
        <x:v>93.10000000000001</x:v>
      </x:c>
      <x:c r="J18" s="56" t="n">
        <x:v>46.03</x:v>
      </x:c>
      <x:c r="K18" s="56" t="n">
        <x:v>6.94</x:v>
      </x:c>
    </x:row>
    <x:row r="19" ht="23" customHeight="1">
      <x:c r="A19" s="49" t="n">
        <x:f>IF(COUNTA(B19:K19)=0,"",ROW()-5)</x:f>
        <x:v>14</x:v>
      </x:c>
      <x:c r="B19" s="53" t="str">
        <x:v>R044</x:v>
      </x:c>
      <x:c r="C19" s="56" t="n">
        <x:v>1</x:v>
      </x:c>
      <x:c r="D19" s="56" t="str">
        <x:v>R047</x:v>
      </x:c>
      <x:c r="E19" s="56" t="n">
        <x:v>2</x:v>
      </x:c>
      <x:c r="F19" s="44" t="n">
        <x:v>140</x:v>
      </x:c>
      <x:c r="G19" s="44" t="n">
        <x:v>10</x:v>
      </x:c>
      <x:c r="H19" s="56" t="n">
        <x:v>8.93</x:v>
      </x:c>
      <x:c r="I19" s="58" t="n">
        <x:f>IF(OR(G19="",H19="",G19&lt;=0),"",H19/G19*100)</x:f>
        <x:v>89.3</x:v>
      </x:c>
      <x:c r="J19" s="56" t="n">
        <x:v>46.93</x:v>
      </x:c>
      <x:c r="K19" s="56" t="n">
        <x:v>6.83</x:v>
      </x:c>
    </x:row>
    <x:row r="20" ht="23" customHeight="1">
      <x:c r="A20" s="49" t="n">
        <x:f>IF(COUNTA(B20:K20)=0,"",ROW()-5)</x:f>
        <x:v>15</x:v>
      </x:c>
      <x:c r="B20" s="53" t="str">
        <x:v>R047</x:v>
      </x:c>
      <x:c r="C20" s="56" t="n">
        <x:v>2</x:v>
      </x:c>
      <x:c r="D20" s="56" t="str">
        <x:v>R050</x:v>
      </x:c>
      <x:c r="E20" s="56" t="n">
        <x:v>3</x:v>
      </x:c>
      <x:c r="F20" s="44" t="n">
        <x:v>150</x:v>
      </x:c>
      <x:c r="G20" s="44" t="n">
        <x:v>10</x:v>
      </x:c>
      <x:c r="H20" s="56" t="n">
        <x:v>8</x:v>
      </x:c>
      <x:c r="I20" s="58" t="n">
        <x:f>IF(OR(G20="",H20="",G20&lt;=0),"",H20/G20*100)</x:f>
        <x:v>80</x:v>
      </x:c>
      <x:c r="J20" s="56" t="n">
        <x:v>48.95</x:v>
      </x:c>
      <x:c r="K20" s="56" t="n">
        <x:v>6.57</x:v>
      </x:c>
    </x:row>
    <x:row r="21" ht="23" customHeight="1">
      <x:c r="A21" s="49" t="n">
        <x:f>IF(COUNTA(B21:K21)=0,"",ROW()-5)</x:f>
        <x:v>16</x:v>
      </x:c>
      <x:c r="B21" s="53" t="str">
        <x:v>R051</x:v>
      </x:c>
      <x:c r="C21" s="56" t="n">
        <x:v>0</x:v>
      </x:c>
      <x:c r="D21" s="56" t="str">
        <x:v>R054</x:v>
      </x:c>
      <x:c r="E21" s="56" t="n">
        <x:v>1</x:v>
      </x:c>
      <x:c r="F21" s="44" t="n">
        <x:v>160</x:v>
      </x:c>
      <x:c r="G21" s="44" t="n">
        <x:v>10</x:v>
      </x:c>
      <x:c r="H21" s="56" t="n">
        <x:v>9.32</x:v>
      </x:c>
      <x:c r="I21" s="58" t="n">
        <x:f>IF(OR(G21="",H21="",G21&lt;=0),"",H21/G21*100)</x:f>
        <x:v>93.2</x:v>
      </x:c>
      <x:c r="J21" s="56" t="n">
        <x:v>51.76</x:v>
      </x:c>
      <x:c r="K21" s="56" t="n">
        <x:v>6.19</x:v>
      </x:c>
    </x:row>
    <x:row r="22" ht="23" customHeight="1">
      <x:c r="A22" s="49" t="n">
        <x:f>IF(COUNTA(B22:K22)=0,"",ROW()-5)</x:f>
        <x:v>17</x:v>
      </x:c>
      <x:c r="B22" s="53" t="str">
        <x:v>R054</x:v>
      </x:c>
      <x:c r="C22" s="56" t="n">
        <x:v>1</x:v>
      </x:c>
      <x:c r="D22" s="56" t="str">
        <x:v>R057</x:v>
      </x:c>
      <x:c r="E22" s="56" t="n">
        <x:v>2</x:v>
      </x:c>
      <x:c r="F22" s="44" t="n">
        <x:v>170</x:v>
      </x:c>
      <x:c r="G22" s="44" t="n">
        <x:v>10</x:v>
      </x:c>
      <x:c r="H22" s="56" t="n">
        <x:v>8.92</x:v>
      </x:c>
      <x:c r="I22" s="58" t="n">
        <x:f>IF(OR(G22="",H22="",G22&lt;=0),"",H22/G22*100)</x:f>
        <x:v>89.2</x:v>
      </x:c>
      <x:c r="J22" s="56" t="n">
        <x:v>54.93</x:v>
      </x:c>
      <x:c r="K22" s="56" t="n">
        <x:v>5.75</x:v>
      </x:c>
    </x:row>
    <x:row r="23" ht="23" customHeight="1">
      <x:c r="A23" s="49" t="n">
        <x:f>IF(COUNTA(B23:K23)=0,"",ROW()-5)</x:f>
        <x:v>18</x:v>
      </x:c>
      <x:c r="B23" s="53" t="str">
        <x:v>R057</x:v>
      </x:c>
      <x:c r="C23" s="56" t="n">
        <x:v>2</x:v>
      </x:c>
      <x:c r="D23" s="56" t="str">
        <x:v>R060</x:v>
      </x:c>
      <x:c r="E23" s="56" t="n">
        <x:v>3</x:v>
      </x:c>
      <x:c r="F23" s="44" t="n">
        <x:v>180</x:v>
      </x:c>
      <x:c r="G23" s="44" t="n">
        <x:v>10</x:v>
      </x:c>
      <x:c r="H23" s="56" t="n">
        <x:v>8</x:v>
      </x:c>
      <x:c r="I23" s="58" t="n">
        <x:f>IF(OR(G23="",H23="",G23&lt;=0),"",H23/G23*100)</x:f>
        <x:v>80</x:v>
      </x:c>
      <x:c r="J23" s="56" t="n">
        <x:v>57.95</x:v>
      </x:c>
      <x:c r="K23" s="56" t="n">
        <x:v>5.31</x:v>
      </x:c>
    </x:row>
    <x:row r="24" ht="23" customHeight="1">
      <x:c r="A24" s="49" t="n">
        <x:f>IF(COUNTA(B24:K24)=0,"",ROW()-5)</x:f>
        <x:v>19</x:v>
      </x:c>
      <x:c r="B24" s="53" t="str">
        <x:v>R061</x:v>
      </x:c>
      <x:c r="C24" s="56" t="n">
        <x:v>0</x:v>
      </x:c>
      <x:c r="D24" s="56" t="str">
        <x:v>R064</x:v>
      </x:c>
      <x:c r="E24" s="56" t="n">
        <x:v>1</x:v>
      </x:c>
      <x:c r="F24" s="44" t="n">
        <x:v>190</x:v>
      </x:c>
      <x:c r="G24" s="44" t="n">
        <x:v>10</x:v>
      </x:c>
      <x:c r="H24" s="56" t="n">
        <x:v>9.33</x:v>
      </x:c>
      <x:c r="I24" s="58" t="n">
        <x:f>IF(OR(G24="",H24="",G24&lt;=0),"",H24/G24*100)</x:f>
        <x:v>93.30000000000001</x:v>
      </x:c>
      <x:c r="J24" s="56" t="n">
        <x:v>60.35</x:v>
      </x:c>
      <x:c r="K24" s="56" t="n">
        <x:v>4.95</x:v>
      </x:c>
    </x:row>
    <x:row r="25" ht="23" customHeight="1">
      <x:c r="A25" s="49" t="n">
        <x:f>IF(COUNTA(B25:K25)=0,"",ROW()-5)</x:f>
        <x:v>20</x:v>
      </x:c>
      <x:c r="B25" s="54" t="str">
        <x:v>R064</x:v>
      </x:c>
      <x:c r="C25" s="57" t="n">
        <x:v>1</x:v>
      </x:c>
      <x:c r="D25" s="57" t="str">
        <x:v>R067</x:v>
      </x:c>
      <x:c r="E25" s="57" t="n">
        <x:v>2</x:v>
      </x:c>
      <x:c r="F25" s="45" t="n">
        <x:v>200</x:v>
      </x:c>
      <x:c r="G25" s="45" t="n">
        <x:v>10</x:v>
      </x:c>
      <x:c r="H25" s="57" t="n">
        <x:v>8.91</x:v>
      </x:c>
      <x:c r="I25" s="58" t="n">
        <x:f>IF(OR(G25="",H25="",G25&lt;=0),"",H25/G25*100)</x:f>
        <x:v>89.1</x:v>
      </x:c>
      <x:c r="J25" s="57" t="n">
        <x:v>61.74</x:v>
      </x:c>
      <x:c r="K25" s="57" t="n">
        <x:v>4.73</x:v>
      </x:c>
    </x:row>
    <x:row r="26">
      <x:c r="A26" s="49" t="n">
        <x:f>IF(COUNTA(B26:K26)=0,"",ROW()-5)</x:f>
        <x:v>21</x:v>
      </x:c>
      <x:c r="B26" s="54" t="str">
        <x:v>R067</x:v>
      </x:c>
      <x:c r="C26" s="57" t="n">
        <x:v>2</x:v>
      </x:c>
      <x:c r="D26" s="57" t="str">
        <x:v>R070</x:v>
      </x:c>
      <x:c r="E26" s="57" t="n">
        <x:v>3</x:v>
      </x:c>
      <x:c r="F26" s="45" t="n">
        <x:v>210</x:v>
      </x:c>
      <x:c r="G26" s="45" t="n">
        <x:v>10</x:v>
      </x:c>
      <x:c r="H26" s="57" t="n">
        <x:v>8.02</x:v>
      </x:c>
      <x:c r="I26" s="58" t="n">
        <x:f>IF(OR(G26="",H26="",G26&lt;=0),"",H26/G26*100)</x:f>
        <x:v>80.19999999999999</x:v>
      </x:c>
      <x:c r="J26" s="57" t="n">
        <x:v>61.91</x:v>
      </x:c>
      <x:c r="K26" s="57" t="n">
        <x:v>4.71</x:v>
      </x:c>
    </x:row>
    <x:row r="27">
      <x:c r="A27" s="49" t="n">
        <x:f>IF(COUNTA(B27:K27)=0,"",ROW()-5)</x:f>
        <x:v>22</x:v>
      </x:c>
      <x:c r="B27" s="54" t="str">
        <x:v>R071</x:v>
      </x:c>
      <x:c r="C27" s="57" t="n">
        <x:v>0</x:v>
      </x:c>
      <x:c r="D27" s="57" t="str">
        <x:v>R074</x:v>
      </x:c>
      <x:c r="E27" s="57" t="n">
        <x:v>1</x:v>
      </x:c>
      <x:c r="F27" s="45" t="n">
        <x:v>220</x:v>
      </x:c>
      <x:c r="G27" s="45" t="n">
        <x:v>10</x:v>
      </x:c>
      <x:c r="H27" s="57" t="n">
        <x:v>9.34</x:v>
      </x:c>
      <x:c r="I27" s="58" t="n">
        <x:f>IF(OR(G27="",H27="",G27&lt;=0),"",H27/G27*100)</x:f>
        <x:v>93.39999999999999</x:v>
      </x:c>
      <x:c r="J27" s="57" t="n">
        <x:v>60.84</x:v>
      </x:c>
      <x:c r="K27" s="57" t="n">
        <x:v>4.87</x:v>
      </x:c>
    </x:row>
    <x:row r="28">
      <x:c r="A28" s="49" t="n">
        <x:f>IF(COUNTA(B28:K28)=0,"",ROW()-5)</x:f>
        <x:v>23</x:v>
      </x:c>
      <x:c r="B28" s="54" t="str">
        <x:v>R074</x:v>
      </x:c>
      <x:c r="C28" s="57" t="n">
        <x:v>1</x:v>
      </x:c>
      <x:c r="D28" s="57" t="str">
        <x:v>R077</x:v>
      </x:c>
      <x:c r="E28" s="57" t="n">
        <x:v>2</x:v>
      </x:c>
      <x:c r="F28" s="45" t="n">
        <x:v>230</x:v>
      </x:c>
      <x:c r="G28" s="45" t="n">
        <x:v>10</x:v>
      </x:c>
      <x:c r="H28" s="57" t="n">
        <x:v>8.89</x:v>
      </x:c>
      <x:c r="I28" s="58" t="n">
        <x:f>IF(OR(G28="",H28="",G28&lt;=0),"",H28/G28*100)</x:f>
        <x:v>88.9</x:v>
      </x:c>
      <x:c r="J28" s="57" t="n">
        <x:v>58.68</x:v>
      </x:c>
      <x:c r="K28" s="57" t="n">
        <x:v>5.2</x:v>
      </x:c>
    </x:row>
    <x:row r="29">
      <x:c r="A29" s="49" t="n">
        <x:f>IF(COUNTA(B29:K29)=0,"",ROW()-5)</x:f>
        <x:v>24</x:v>
      </x:c>
      <x:c r="B29" s="54" t="str">
        <x:v>R077</x:v>
      </x:c>
      <x:c r="C29" s="57" t="n">
        <x:v>2</x:v>
      </x:c>
      <x:c r="D29" s="57" t="str">
        <x:v>R080</x:v>
      </x:c>
      <x:c r="E29" s="57" t="n">
        <x:v>3</x:v>
      </x:c>
      <x:c r="F29" s="45" t="n">
        <x:v>240</x:v>
      </x:c>
      <x:c r="G29" s="45" t="n">
        <x:v>10</x:v>
      </x:c>
      <x:c r="H29" s="57" t="n">
        <x:v>8.01</x:v>
      </x:c>
      <x:c r="I29" s="58" t="n">
        <x:f>IF(OR(G29="",H29="",G29&lt;=0),"",H29/G29*100)</x:f>
        <x:v>80.1</x:v>
      </x:c>
      <x:c r="J29" s="57" t="n">
        <x:v>55.78</x:v>
      </x:c>
      <x:c r="K29" s="57" t="n">
        <x:v>5.62</x:v>
      </x:c>
    </x:row>
    <x:row r="30">
      <x:c r="A30" s="49" t="n">
        <x:f>IF(COUNTA(B30:K30)=0,"",ROW()-5)</x:f>
        <x:v>25</x:v>
      </x:c>
      <x:c r="B30" s="54" t="str">
        <x:v>R081</x:v>
      </x:c>
      <x:c r="C30" s="57" t="n">
        <x:v>0</x:v>
      </x:c>
      <x:c r="D30" s="57" t="str">
        <x:v>R084</x:v>
      </x:c>
      <x:c r="E30" s="57" t="n">
        <x:v>1</x:v>
      </x:c>
      <x:c r="F30" s="45" t="n">
        <x:v>250</x:v>
      </x:c>
      <x:c r="G30" s="45" t="n">
        <x:v>10</x:v>
      </x:c>
      <x:c r="H30" s="57" t="n">
        <x:v>9.35</x:v>
      </x:c>
      <x:c r="I30" s="58" t="n">
        <x:f>IF(OR(G30="",H30="",G30&lt;=0),"",H30/G30*100)</x:f>
        <x:v>93.5</x:v>
      </x:c>
      <x:c r="J30" s="57" t="n">
        <x:v>52.61</x:v>
      </x:c>
      <x:c r="K30" s="57" t="n">
        <x:v>6.07</x:v>
      </x:c>
    </x:row>
    <x:row r="31">
      <x:c r="A31" s="49" t="n">
        <x:f>IF(COUNTA(B31:K31)=0,"",ROW()-5)</x:f>
        <x:v>26</x:v>
      </x:c>
      <x:c r="B31" s="54" t="str">
        <x:v>R084</x:v>
      </x:c>
      <x:c r="C31" s="57" t="n">
        <x:v>1</x:v>
      </x:c>
      <x:c r="D31" s="57" t="str">
        <x:v>R087</x:v>
      </x:c>
      <x:c r="E31" s="57" t="n">
        <x:v>2</x:v>
      </x:c>
      <x:c r="F31" s="45" t="n">
        <x:v>260</x:v>
      </x:c>
      <x:c r="G31" s="45" t="n">
        <x:v>10</x:v>
      </x:c>
      <x:c r="H31" s="57" t="n">
        <x:v>8.88</x:v>
      </x:c>
      <x:c r="I31" s="58" t="n">
        <x:f>IF(OR(G31="",H31="",G31&lt;=0),"",H31/G31*100)</x:f>
        <x:v>88.80000000000001</x:v>
      </x:c>
      <x:c r="J31" s="57" t="n">
        <x:v>49.65</x:v>
      </x:c>
      <x:c r="K31" s="57" t="n">
        <x:v>6.47</x:v>
      </x:c>
    </x:row>
    <x:row r="32">
      <x:c r="A32" s="49" t="n">
        <x:f>IF(COUNTA(B32:K32)=0,"",ROW()-5)</x:f>
        <x:v>27</x:v>
      </x:c>
      <x:c r="B32" s="54" t="str">
        <x:v>R087</x:v>
      </x:c>
      <x:c r="C32" s="57" t="n">
        <x:v>2</x:v>
      </x:c>
      <x:c r="D32" s="57" t="str">
        <x:v>R090</x:v>
      </x:c>
      <x:c r="E32" s="57" t="n">
        <x:v>3</x:v>
      </x:c>
      <x:c r="F32" s="45" t="n">
        <x:v>270</x:v>
      </x:c>
      <x:c r="G32" s="45" t="n">
        <x:v>10</x:v>
      </x:c>
      <x:c r="H32" s="57" t="n">
        <x:v>8.01</x:v>
      </x:c>
      <x:c r="I32" s="58" t="n">
        <x:f>IF(OR(G32="",H32="",G32&lt;=0),"",H32/G32*100)</x:f>
        <x:v>80.1</x:v>
      </x:c>
      <x:c r="J32" s="57" t="n">
        <x:v>47.38</x:v>
      </x:c>
      <x:c r="K32" s="57" t="n">
        <x:v>6.77</x:v>
      </x:c>
    </x:row>
    <x:row r="33">
      <x:c r="A33" s="49" t="n">
        <x:f>IF(COUNTA(B33:K33)=0,"",ROW()-5)</x:f>
        <x:v>28</x:v>
      </x:c>
      <x:c r="B33" s="54" t="str">
        <x:v>R091</x:v>
      </x:c>
      <x:c r="C33" s="57" t="n">
        <x:v>0</x:v>
      </x:c>
      <x:c r="D33" s="57" t="str">
        <x:v>R094</x:v>
      </x:c>
      <x:c r="E33" s="57" t="n">
        <x:v>1</x:v>
      </x:c>
      <x:c r="F33" s="45" t="n">
        <x:v>280</x:v>
      </x:c>
      <x:c r="G33" s="45" t="n">
        <x:v>10</x:v>
      </x:c>
      <x:c r="H33" s="57" t="n">
        <x:v>9.37</x:v>
      </x:c>
      <x:c r="I33" s="58" t="n">
        <x:f>IF(OR(G33="",H33="",G33&lt;=0),"",H33/G33*100)</x:f>
        <x:v>93.69999999999999</x:v>
      </x:c>
      <x:c r="J33" s="57" t="n">
        <x:v>46.15</x:v>
      </x:c>
      <x:c r="K33" s="57" t="n">
        <x:v>6.93</x:v>
      </x:c>
    </x:row>
    <x:row r="34">
      <x:c r="A34" s="49" t="n">
        <x:f>IF(COUNTA(B34:K34)=0,"",ROW()-5)</x:f>
        <x:v>29</x:v>
      </x:c>
      <x:c r="B34" s="54" t="str">
        <x:v>R094</x:v>
      </x:c>
      <x:c r="C34" s="57" t="n">
        <x:v>1</x:v>
      </x:c>
      <x:c r="D34" s="57" t="str">
        <x:v>R097</x:v>
      </x:c>
      <x:c r="E34" s="57" t="n">
        <x:v>2</x:v>
      </x:c>
      <x:c r="F34" s="45" t="n">
        <x:v>290</x:v>
      </x:c>
      <x:c r="G34" s="45" t="n">
        <x:v>10</x:v>
      </x:c>
      <x:c r="H34" s="57" t="n">
        <x:v>8.86</x:v>
      </x:c>
      <x:c r="I34" s="58" t="n">
        <x:f>IF(OR(G34="",H34="",G34&lt;=0),"",H34/G34*100)</x:f>
        <x:v>88.6</x:v>
      </x:c>
      <x:c r="J34" s="57" t="n">
        <x:v>46.17</x:v>
      </x:c>
      <x:c r="K34" s="57" t="n">
        <x:v>6.93</x:v>
      </x:c>
    </x:row>
    <x:row r="35">
      <x:c r="A35" s="49" t="n">
        <x:f>IF(COUNTA(B35:K35)=0,"",ROW()-5)</x:f>
        <x:v>30</x:v>
      </x:c>
      <x:c r="B35" s="54" t="str">
        <x:v>R097</x:v>
      </x:c>
      <x:c r="C35" s="57" t="n">
        <x:v>2</x:v>
      </x:c>
      <x:c r="D35" s="57" t="str">
        <x:v>R100</x:v>
      </x:c>
      <x:c r="E35" s="57" t="n">
        <x:v>3</x:v>
      </x:c>
      <x:c r="F35" s="45" t="n">
        <x:v>300</x:v>
      </x:c>
      <x:c r="G35" s="45" t="n">
        <x:v>10</x:v>
      </x:c>
      <x:c r="H35" s="57" t="n">
        <x:v>8.02</x:v>
      </x:c>
      <x:c r="I35" s="58" t="n">
        <x:f>IF(OR(G35="",H35="",G35&lt;=0),"",H35/G35*100)</x:f>
        <x:v>80.19999999999999</x:v>
      </x:c>
      <x:c r="J35" s="57" t="n">
        <x:v>47.42</x:v>
      </x:c>
      <x:c r="K35" s="57" t="n">
        <x:v>6.77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2" hidden="0" customWidth="1"/>
    <x:col min="10" max="10" width="14" hidden="0" customWidth="1"/>
    <x:col min="11" max="11" width="19" hidden="0" customWidth="1"/>
    <x:col min="12" max="12" width="19" hidden="0" customWidth="1"/>
    <x:col min="13" max="13" width="16" hidden="0" customWidth="1"/>
    <x:col min="14" max="14" width="24" hidden="0" customWidth="1"/>
    <x:col min="15" max="15" width="30" hidden="0" customWidth="1"/>
    <x:col min="16" max="16" width="30" hidden="0" customWidth="1"/>
  </x:cols>
  <x:sheetData>
    <x:row r="1" ht="24" customHeight="1">
      <x:c r="A1" s="3" t="str">
        <x:v>采样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保留原始样号、回次位置和长度；采取率直接按岩心长度÷进尺计算，进尺为空或为零时留空并核对。重量单位留空待确认；未知列不推测含义。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38" t="str">
        <x:v>样品编号数</x:v>
      </x:c>
      <x:c r="B4" s="42" t="n">
        <x:f>COUNTIF(B6:B125,"&lt;&gt;")</x:f>
        <x:v>120</x:v>
      </x:c>
      <x:c r="C4" s="38" t="str">
        <x:v>样品进尺合计_m</x:v>
      </x:c>
      <x:c r="D4" s="42" t="n">
        <x:f>IF(COUNT(I6:I125)=0,"",SUM(I6:I125))</x:f>
        <x:v>240</x:v>
      </x:c>
      <x:c r="E4" s="38" t="str">
        <x:v>样品岩心合计_m</x:v>
      </x:c>
      <x:c r="F4" s="42" t="n">
        <x:f>IF(COUNT(J6:J125)=0,"",SUM(J6:J125))</x:f>
        <x:v>209.92000000000004</x:v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2"/>
    </x:row>
    <x:row r="5" ht="34" customHeight="1">
      <x:c r="A5" s="31" t="str">
        <x:v>序号</x:v>
      </x:c>
      <x:c r="B5" s="31" t="str">
        <x:v>样品编号</x:v>
      </x:c>
      <x:c r="C5" s="31" t="str">
        <x:v>起回次号</x:v>
      </x:c>
      <x:c r="D5" s="31" t="str">
        <x:v>起位置_m</x:v>
      </x:c>
      <x:c r="E5" s="31" t="str">
        <x:v>止回次号</x:v>
      </x:c>
      <x:c r="F5" s="31" t="str">
        <x:v>止位置_m</x:v>
      </x:c>
      <x:c r="G5" s="31" t="str">
        <x:v>孔深自_m</x:v>
      </x:c>
      <x:c r="H5" s="31" t="str">
        <x:v>孔深至_m</x:v>
      </x:c>
      <x:c r="I5" s="31" t="str">
        <x:v>进尺_m</x:v>
      </x:c>
      <x:c r="J5" s="31" t="str">
        <x:v>岩心长度_m</x:v>
      </x:c>
      <x:c r="K5" s="31" t="str">
        <x:v>采取率_pct（计算）</x:v>
      </x:c>
      <x:c r="L5" s="31" t="str">
        <x:v>重量数值（原单位未明）</x:v>
      </x:c>
      <x:c r="M5" s="31" t="str">
        <x:v>重量单位（手填）</x:v>
      </x:c>
      <x:c r="N5" s="31" t="str">
        <x:v>原表L列值（含义待确认）</x:v>
      </x:c>
      <x:c r="O5" s="31" t="str">
        <x:v>原表M列未命名值/附加备注</x:v>
      </x:c>
      <x:c r="P5" s="31" t="str">
        <x:v>原表N列未命名值/附加备注</x:v>
      </x:c>
    </x:row>
    <x:row r="6" ht="23" customHeight="1">
      <x:c r="A6" s="49" t="n">
        <x:f>IF(B6="","",ROW()-5)</x:f>
        <x:v>1</x:v>
      </x:c>
      <x:c r="B6" s="52" t="str">
        <x:v>SIM-S001</x:v>
      </x:c>
      <x:c r="C6" s="52" t="str">
        <x:v>R007</x:v>
      </x:c>
      <x:c r="D6" s="55" t="n">
        <x:v>0</x:v>
      </x:c>
      <x:c r="E6" s="52" t="str">
        <x:v>R007</x:v>
      </x:c>
      <x:c r="F6" s="55" t="n">
        <x:v>2</x:v>
      </x:c>
      <x:c r="G6" s="55" t="n">
        <x:v>18</x:v>
      </x:c>
      <x:c r="H6" s="55" t="n">
        <x:v>20</x:v>
      </x:c>
      <x:c r="I6" s="55" t="n">
        <x:v>2</x:v>
      </x:c>
      <x:c r="J6" s="55" t="n">
        <x:v>1.64</x:v>
      </x:c>
      <x:c r="K6" s="58" t="n">
        <x:f>IF(OR(I6="",J6="",I6&lt;=0),"",J6/I6*100)</x:f>
        <x:v>82</x:v>
      </x:c>
      <x:c r="L6" s="55" t="n">
        <x:v>2.55</x:v>
      </x:c>
      <x:c r="M6" s="43" t="str">
        <x:v>kg</x:v>
      </x:c>
      <x:c r="N6" s="55"/>
      <x:c r="O6" s="43" t="str">
        <x:v>模拟半芯组合样</x:v>
      </x:c>
      <x:c r="P6" s="43" t="str">
        <x:v>未命名原列不适用（模拟）</x:v>
      </x:c>
    </x:row>
    <x:row r="7" ht="23" customHeight="1">
      <x:c r="A7" s="49" t="n">
        <x:f>IF(B7="","",ROW()-5)</x:f>
        <x:v>2</x:v>
      </x:c>
      <x:c r="B7" s="53" t="str">
        <x:v>SIM-S002</x:v>
      </x:c>
      <x:c r="C7" s="53" t="str">
        <x:v>R007</x:v>
      </x:c>
      <x:c r="D7" s="56" t="n">
        <x:v>2.2</x:v>
      </x:c>
      <x:c r="E7" s="53" t="str">
        <x:v>R008</x:v>
      </x:c>
      <x:c r="F7" s="56" t="n">
        <x:v>1.2</x:v>
      </x:c>
      <x:c r="G7" s="56" t="n">
        <x:v>20.2</x:v>
      </x:c>
      <x:c r="H7" s="56" t="n">
        <x:v>22.2</x:v>
      </x:c>
      <x:c r="I7" s="56" t="n">
        <x:v>2</x:v>
      </x:c>
      <x:c r="J7" s="56" t="n">
        <x:v>1.6</x:v>
      </x:c>
      <x:c r="K7" s="58" t="n">
        <x:f>IF(OR(I7="",J7="",I7&lt;=0),"",J7/I7*100)</x:f>
        <x:v>80</x:v>
      </x:c>
      <x:c r="L7" s="56" t="n">
        <x:v>2.84</x:v>
      </x:c>
      <x:c r="M7" s="44" t="str">
        <x:v>kg</x:v>
      </x:c>
      <x:c r="N7" s="56"/>
      <x:c r="O7" s="44" t="str">
        <x:v>模拟半芯组合样</x:v>
      </x:c>
      <x:c r="P7" s="44" t="str">
        <x:v>未命名原列不适用（模拟）</x:v>
      </x:c>
    </x:row>
    <x:row r="8" ht="23" customHeight="1">
      <x:c r="A8" s="49" t="n">
        <x:f>IF(B8="","",ROW()-5)</x:f>
        <x:v>3</x:v>
      </x:c>
      <x:c r="B8" s="53" t="str">
        <x:v>SIM-S003</x:v>
      </x:c>
      <x:c r="C8" s="53" t="str">
        <x:v>R008</x:v>
      </x:c>
      <x:c r="D8" s="56" t="n">
        <x:v>1.4</x:v>
      </x:c>
      <x:c r="E8" s="53" t="str">
        <x:v>R009</x:v>
      </x:c>
      <x:c r="F8" s="56" t="n">
        <x:v>0.4</x:v>
      </x:c>
      <x:c r="G8" s="56" t="n">
        <x:v>22.4</x:v>
      </x:c>
      <x:c r="H8" s="56" t="n">
        <x:v>24.4</x:v>
      </x:c>
      <x:c r="I8" s="56" t="n">
        <x:v>2</x:v>
      </x:c>
      <x:c r="J8" s="56" t="n">
        <x:v>1.57</x:v>
      </x:c>
      <x:c r="K8" s="58" t="n">
        <x:f>IF(OR(I8="",J8="",I8&lt;=0),"",J8/I8*100)</x:f>
        <x:v>78.5</x:v>
      </x:c>
      <x:c r="L8" s="56" t="n">
        <x:v>2.99</x:v>
      </x:c>
      <x:c r="M8" s="44" t="str">
        <x:v>kg</x:v>
      </x:c>
      <x:c r="N8" s="56"/>
      <x:c r="O8" s="44" t="str">
        <x:v>模拟半芯组合样</x:v>
      </x:c>
      <x:c r="P8" s="44" t="str">
        <x:v>未命名原列不适用（模拟）</x:v>
      </x:c>
    </x:row>
    <x:row r="9" ht="23" customHeight="1">
      <x:c r="A9" s="49" t="n">
        <x:f>IF(B9="","",ROW()-5)</x:f>
        <x:v>4</x:v>
      </x:c>
      <x:c r="B9" s="53" t="str">
        <x:v>SIM-S004</x:v>
      </x:c>
      <x:c r="C9" s="53" t="str">
        <x:v>R009</x:v>
      </x:c>
      <x:c r="D9" s="56" t="n">
        <x:v>0.6</x:v>
      </x:c>
      <x:c r="E9" s="53" t="str">
        <x:v>R009</x:v>
      </x:c>
      <x:c r="F9" s="56" t="n">
        <x:v>2.6</x:v>
      </x:c>
      <x:c r="G9" s="56" t="n">
        <x:v>24.6</x:v>
      </x:c>
      <x:c r="H9" s="56" t="n">
        <x:v>26.6</x:v>
      </x:c>
      <x:c r="I9" s="56" t="n">
        <x:v>2</x:v>
      </x:c>
      <x:c r="J9" s="56" t="n">
        <x:v>1.57</x:v>
      </x:c>
      <x:c r="K9" s="58" t="n">
        <x:f>IF(OR(I9="",J9="",I9&lt;=0),"",J9/I9*100)</x:f>
        <x:v>78.5</x:v>
      </x:c>
      <x:c r="L9" s="56" t="n">
        <x:v>2.94</x:v>
      </x:c>
      <x:c r="M9" s="44" t="str">
        <x:v>kg</x:v>
      </x:c>
      <x:c r="N9" s="56"/>
      <x:c r="O9" s="44" t="str">
        <x:v>模拟半芯组合样</x:v>
      </x:c>
      <x:c r="P9" s="44" t="str">
        <x:v>未命名原列不适用（模拟）</x:v>
      </x:c>
    </x:row>
    <x:row r="10" ht="23" customHeight="1">
      <x:c r="A10" s="49" t="n">
        <x:f>IF(B10="","",ROW()-5)</x:f>
        <x:v>5</x:v>
      </x:c>
      <x:c r="B10" s="53" t="str">
        <x:v>SIM-S005</x:v>
      </x:c>
      <x:c r="C10" s="53" t="str">
        <x:v>R009</x:v>
      </x:c>
      <x:c r="D10" s="56" t="n">
        <x:v>2.8</x:v>
      </x:c>
      <x:c r="E10" s="53" t="str">
        <x:v>R010</x:v>
      </x:c>
      <x:c r="F10" s="56" t="n">
        <x:v>1.8</x:v>
      </x:c>
      <x:c r="G10" s="56" t="n">
        <x:v>26.8</x:v>
      </x:c>
      <x:c r="H10" s="56" t="n">
        <x:v>28.8</x:v>
      </x:c>
      <x:c r="I10" s="56" t="n">
        <x:v>2</x:v>
      </x:c>
      <x:c r="J10" s="56" t="n">
        <x:v>1.63</x:v>
      </x:c>
      <x:c r="K10" s="58" t="n">
        <x:f>IF(OR(I10="",J10="",I10&lt;=0),"",J10/I10*100)</x:f>
        <x:v>81.5</x:v>
      </x:c>
      <x:c r="L10" s="56" t="n">
        <x:v>2.7</x:v>
      </x:c>
      <x:c r="M10" s="44" t="str">
        <x:v>kg</x:v>
      </x:c>
      <x:c r="N10" s="56"/>
      <x:c r="O10" s="44" t="str">
        <x:v>模拟半芯组合样</x:v>
      </x:c>
      <x:c r="P10" s="44" t="str">
        <x:v>未命名原列不适用（模拟）</x:v>
      </x:c>
    </x:row>
    <x:row r="11" ht="23" customHeight="1">
      <x:c r="A11" s="49" t="n">
        <x:f>IF(B11="","",ROW()-5)</x:f>
        <x:v>6</x:v>
      </x:c>
      <x:c r="B11" s="53" t="str">
        <x:v>SIM-S006</x:v>
      </x:c>
      <x:c r="C11" s="53" t="str">
        <x:v>R010</x:v>
      </x:c>
      <x:c r="D11" s="56" t="n">
        <x:v>2</x:v>
      </x:c>
      <x:c r="E11" s="53" t="str">
        <x:v>R011</x:v>
      </x:c>
      <x:c r="F11" s="56" t="n">
        <x:v>1</x:v>
      </x:c>
      <x:c r="G11" s="56" t="n">
        <x:v>29</x:v>
      </x:c>
      <x:c r="H11" s="56" t="n">
        <x:v>31</x:v>
      </x:c>
      <x:c r="I11" s="56" t="n">
        <x:v>2</x:v>
      </x:c>
      <x:c r="J11" s="56" t="n">
        <x:v>1.7</x:v>
      </x:c>
      <x:c r="K11" s="58" t="n">
        <x:f>IF(OR(I11="",J11="",I11&lt;=0),"",J11/I11*100)</x:f>
        <x:v>85</x:v>
      </x:c>
      <x:c r="L11" s="56" t="n">
        <x:v>2.39</x:v>
      </x:c>
      <x:c r="M11" s="44" t="str">
        <x:v>kg</x:v>
      </x:c>
      <x:c r="N11" s="56"/>
      <x:c r="O11" s="44" t="str">
        <x:v>模拟半芯组合样</x:v>
      </x:c>
      <x:c r="P11" s="44" t="str">
        <x:v>未命名原列不适用（模拟）</x:v>
      </x:c>
    </x:row>
    <x:row r="12" ht="23" customHeight="1">
      <x:c r="A12" s="49" t="n">
        <x:f>IF(B12="","",ROW()-5)</x:f>
        <x:v>7</x:v>
      </x:c>
      <x:c r="B12" s="53" t="str">
        <x:v>SIM-S007</x:v>
      </x:c>
      <x:c r="C12" s="53" t="str">
        <x:v>R011</x:v>
      </x:c>
      <x:c r="D12" s="56" t="n">
        <x:v>1.2</x:v>
      </x:c>
      <x:c r="E12" s="53" t="str">
        <x:v>R012</x:v>
      </x:c>
      <x:c r="F12" s="56" t="n">
        <x:v>0.2</x:v>
      </x:c>
      <x:c r="G12" s="56" t="n">
        <x:v>31.2</x:v>
      </x:c>
      <x:c r="H12" s="56" t="n">
        <x:v>33.2</x:v>
      </x:c>
      <x:c r="I12" s="56" t="n">
        <x:v>2</x:v>
      </x:c>
      <x:c r="J12" s="56" t="n">
        <x:v>1.76</x:v>
      </x:c>
      <x:c r="K12" s="58" t="n">
        <x:f>IF(OR(I12="",J12="",I12&lt;=0),"",J12/I12*100)</x:f>
        <x:v>88</x:v>
      </x:c>
      <x:c r="L12" s="56" t="n">
        <x:v>2.16</x:v>
      </x:c>
      <x:c r="M12" s="44" t="str">
        <x:v>kg</x:v>
      </x:c>
      <x:c r="N12" s="56"/>
      <x:c r="O12" s="44" t="str">
        <x:v>模拟半芯组合样</x:v>
      </x:c>
      <x:c r="P12" s="44" t="str">
        <x:v>未命名原列不适用（模拟）</x:v>
      </x:c>
    </x:row>
    <x:row r="13" ht="23" customHeight="1">
      <x:c r="A13" s="49" t="n">
        <x:f>IF(B13="","",ROW()-5)</x:f>
        <x:v>8</x:v>
      </x:c>
      <x:c r="B13" s="53" t="str">
        <x:v>SIM-S008</x:v>
      </x:c>
      <x:c r="C13" s="53" t="str">
        <x:v>R012</x:v>
      </x:c>
      <x:c r="D13" s="56" t="n">
        <x:v>0.4</x:v>
      </x:c>
      <x:c r="E13" s="53" t="str">
        <x:v>R012</x:v>
      </x:c>
      <x:c r="F13" s="56" t="n">
        <x:v>2.4</x:v>
      </x:c>
      <x:c r="G13" s="56" t="n">
        <x:v>33.4</x:v>
      </x:c>
      <x:c r="H13" s="56" t="n">
        <x:v>35.4</x:v>
      </x:c>
      <x:c r="I13" s="56" t="n">
        <x:v>2</x:v>
      </x:c>
      <x:c r="J13" s="56" t="n">
        <x:v>1.87</x:v>
      </x:c>
      <x:c r="K13" s="58" t="n">
        <x:f>IF(OR(I13="",J13="",I13&lt;=0),"",J13/I13*100)</x:f>
        <x:v>93.5</x:v>
      </x:c>
      <x:c r="L13" s="56" t="n">
        <x:v>2.11</x:v>
      </x:c>
      <x:c r="M13" s="44" t="str">
        <x:v>kg</x:v>
      </x:c>
      <x:c r="N13" s="56"/>
      <x:c r="O13" s="44" t="str">
        <x:v>模拟半芯组合样</x:v>
      </x:c>
      <x:c r="P13" s="44" t="str">
        <x:v>未命名原列不适用（模拟）</x:v>
      </x:c>
    </x:row>
    <x:row r="14" ht="23" customHeight="1">
      <x:c r="A14" s="49" t="n">
        <x:f>IF(B14="","",ROW()-5)</x:f>
        <x:v>9</x:v>
      </x:c>
      <x:c r="B14" s="53" t="str">
        <x:v>SIM-S009</x:v>
      </x:c>
      <x:c r="C14" s="53" t="str">
        <x:v>R012</x:v>
      </x:c>
      <x:c r="D14" s="56" t="n">
        <x:v>2.6</x:v>
      </x:c>
      <x:c r="E14" s="53" t="str">
        <x:v>R013</x:v>
      </x:c>
      <x:c r="F14" s="56" t="n">
        <x:v>1.6</x:v>
      </x:c>
      <x:c r="G14" s="56" t="n">
        <x:v>35.6</x:v>
      </x:c>
      <x:c r="H14" s="56" t="n">
        <x:v>37.6</x:v>
      </x:c>
      <x:c r="I14" s="56" t="n">
        <x:v>2</x:v>
      </x:c>
      <x:c r="J14" s="56" t="n">
        <x:v>1.92</x:v>
      </x:c>
      <x:c r="K14" s="58" t="n">
        <x:f>IF(OR(I14="",J14="",I14&lt;=0),"",J14/I14*100)</x:f>
        <x:v>96</x:v>
      </x:c>
      <x:c r="L14" s="56" t="n">
        <x:v>2.27</x:v>
      </x:c>
      <x:c r="M14" s="44" t="str">
        <x:v>kg</x:v>
      </x:c>
      <x:c r="N14" s="56"/>
      <x:c r="O14" s="44" t="str">
        <x:v>模拟半芯组合样</x:v>
      </x:c>
      <x:c r="P14" s="44" t="str">
        <x:v>未命名原列不适用（模拟）</x:v>
      </x:c>
    </x:row>
    <x:row r="15" ht="23" customHeight="1">
      <x:c r="A15" s="49" t="n">
        <x:f>IF(B15="","",ROW()-5)</x:f>
        <x:v>10</x:v>
      </x:c>
      <x:c r="B15" s="53" t="str">
        <x:v>SIM-S010</x:v>
      </x:c>
      <x:c r="C15" s="53" t="str">
        <x:v>R013</x:v>
      </x:c>
      <x:c r="D15" s="56" t="n">
        <x:v>1.8</x:v>
      </x:c>
      <x:c r="E15" s="53" t="str">
        <x:v>R014</x:v>
      </x:c>
      <x:c r="F15" s="56" t="n">
        <x:v>0.8</x:v>
      </x:c>
      <x:c r="G15" s="56" t="n">
        <x:v>37.8</x:v>
      </x:c>
      <x:c r="H15" s="56" t="n">
        <x:v>39.8</x:v>
      </x:c>
      <x:c r="I15" s="56" t="n">
        <x:v>2</x:v>
      </x:c>
      <x:c r="J15" s="56" t="n">
        <x:v>1.93</x:v>
      </x:c>
      <x:c r="K15" s="58" t="n">
        <x:f>IF(OR(I15="",J15="",I15&lt;=0),"",J15/I15*100)</x:f>
        <x:v>96.5</x:v>
      </x:c>
      <x:c r="L15" s="56" t="n">
        <x:v>2.56</x:v>
      </x:c>
      <x:c r="M15" s="44" t="str">
        <x:v>kg</x:v>
      </x:c>
      <x:c r="N15" s="56"/>
      <x:c r="O15" s="44" t="str">
        <x:v>模拟半芯组合样</x:v>
      </x:c>
      <x:c r="P15" s="44" t="str">
        <x:v>未命名原列不适用（模拟）</x:v>
      </x:c>
    </x:row>
    <x:row r="16" ht="23" customHeight="1">
      <x:c r="A16" s="49" t="n">
        <x:f>IF(B16="","",ROW()-5)</x:f>
        <x:v>11</x:v>
      </x:c>
      <x:c r="B16" s="53" t="str">
        <x:v>SIM-S011</x:v>
      </x:c>
      <x:c r="C16" s="53" t="str">
        <x:v>R014</x:v>
      </x:c>
      <x:c r="D16" s="56" t="n">
        <x:v>1</x:v>
      </x:c>
      <x:c r="E16" s="53" t="str">
        <x:v>R014</x:v>
      </x:c>
      <x:c r="F16" s="56" t="n">
        <x:v>3</x:v>
      </x:c>
      <x:c r="G16" s="56" t="n">
        <x:v>40</x:v>
      </x:c>
      <x:c r="H16" s="56" t="n">
        <x:v>42</x:v>
      </x:c>
      <x:c r="I16" s="56" t="n">
        <x:v>2</x:v>
      </x:c>
      <x:c r="J16" s="56" t="n">
        <x:v>1.93</x:v>
      </x:c>
      <x:c r="K16" s="58" t="n">
        <x:f>IF(OR(I16="",J16="",I16&lt;=0),"",J16/I16*100)</x:f>
        <x:v>96.5</x:v>
      </x:c>
      <x:c r="L16" s="56" t="n">
        <x:v>2.85</x:v>
      </x:c>
      <x:c r="M16" s="44" t="str">
        <x:v>kg</x:v>
      </x:c>
      <x:c r="N16" s="56"/>
      <x:c r="O16" s="44" t="str">
        <x:v>模拟半芯组合样</x:v>
      </x:c>
      <x:c r="P16" s="44" t="str">
        <x:v>未命名原列不适用（模拟）</x:v>
      </x:c>
    </x:row>
    <x:row r="17" ht="23" customHeight="1">
      <x:c r="A17" s="49" t="n">
        <x:f>IF(B17="","",ROW()-5)</x:f>
        <x:v>12</x:v>
      </x:c>
      <x:c r="B17" s="53" t="str">
        <x:v>SIM-S012</x:v>
      </x:c>
      <x:c r="C17" s="53" t="str">
        <x:v>R015</x:v>
      </x:c>
      <x:c r="D17" s="56" t="n">
        <x:v>0.2</x:v>
      </x:c>
      <x:c r="E17" s="53" t="str">
        <x:v>R015</x:v>
      </x:c>
      <x:c r="F17" s="56" t="n">
        <x:v>2.2</x:v>
      </x:c>
      <x:c r="G17" s="56" t="n">
        <x:v>42.2</x:v>
      </x:c>
      <x:c r="H17" s="56" t="n">
        <x:v>44.2</x:v>
      </x:c>
      <x:c r="I17" s="56" t="n">
        <x:v>2</x:v>
      </x:c>
      <x:c r="J17" s="56" t="n">
        <x:v>1.86</x:v>
      </x:c>
      <x:c r="K17" s="58" t="n">
        <x:f>IF(OR(I17="",J17="",I17&lt;=0),"",J17/I17*100)</x:f>
        <x:v>93</x:v>
      </x:c>
      <x:c r="L17" s="56" t="n">
        <x:v>2.99</x:v>
      </x:c>
      <x:c r="M17" s="44" t="str">
        <x:v>kg</x:v>
      </x:c>
      <x:c r="N17" s="56"/>
      <x:c r="O17" s="44" t="str">
        <x:v>模拟半芯组合样</x:v>
      </x:c>
      <x:c r="P17" s="44" t="str">
        <x:v>未命名原列不适用（模拟）</x:v>
      </x:c>
    </x:row>
    <x:row r="18" ht="23" customHeight="1">
      <x:c r="A18" s="49" t="n">
        <x:f>IF(B18="","",ROW()-5)</x:f>
        <x:v>13</x:v>
      </x:c>
      <x:c r="B18" s="53" t="str">
        <x:v>SIM-S013</x:v>
      </x:c>
      <x:c r="C18" s="53" t="str">
        <x:v>R015</x:v>
      </x:c>
      <x:c r="D18" s="56" t="n">
        <x:v>2.4</x:v>
      </x:c>
      <x:c r="E18" s="53" t="str">
        <x:v>R016</x:v>
      </x:c>
      <x:c r="F18" s="56" t="n">
        <x:v>1.4</x:v>
      </x:c>
      <x:c r="G18" s="56" t="n">
        <x:v>44.4</x:v>
      </x:c>
      <x:c r="H18" s="56" t="n">
        <x:v>46.4</x:v>
      </x:c>
      <x:c r="I18" s="56" t="n">
        <x:v>2</x:v>
      </x:c>
      <x:c r="J18" s="56" t="n">
        <x:v>1.78</x:v>
      </x:c>
      <x:c r="K18" s="58" t="n">
        <x:f>IF(OR(I18="",J18="",I18&lt;=0),"",J18/I18*100)</x:f>
        <x:v>89</x:v>
      </x:c>
      <x:c r="L18" s="56" t="n">
        <x:v>2.93</x:v>
      </x:c>
      <x:c r="M18" s="44" t="str">
        <x:v>kg</x:v>
      </x:c>
      <x:c r="N18" s="56"/>
      <x:c r="O18" s="44" t="str">
        <x:v>模拟半芯组合样</x:v>
      </x:c>
      <x:c r="P18" s="44" t="str">
        <x:v>未命名原列不适用（模拟）</x:v>
      </x:c>
    </x:row>
    <x:row r="19" ht="23" customHeight="1">
      <x:c r="A19" s="49" t="n">
        <x:f>IF(B19="","",ROW()-5)</x:f>
        <x:v>14</x:v>
      </x:c>
      <x:c r="B19" s="53" t="str">
        <x:v>SIM-S014</x:v>
      </x:c>
      <x:c r="C19" s="53" t="str">
        <x:v>R016</x:v>
      </x:c>
      <x:c r="D19" s="56" t="n">
        <x:v>1.6</x:v>
      </x:c>
      <x:c r="E19" s="53" t="str">
        <x:v>R017</x:v>
      </x:c>
      <x:c r="F19" s="56" t="n">
        <x:v>0.6</x:v>
      </x:c>
      <x:c r="G19" s="56" t="n">
        <x:v>46.6</x:v>
      </x:c>
      <x:c r="H19" s="56" t="n">
        <x:v>48.6</x:v>
      </x:c>
      <x:c r="I19" s="56" t="n">
        <x:v>2</x:v>
      </x:c>
      <x:c r="J19" s="56" t="n">
        <x:v>1.71</x:v>
      </x:c>
      <x:c r="K19" s="58" t="n">
        <x:f>IF(OR(I19="",J19="",I19&lt;=0),"",J19/I19*100)</x:f>
        <x:v>85.5</x:v>
      </x:c>
      <x:c r="L19" s="56" t="n">
        <x:v>2.69</x:v>
      </x:c>
      <x:c r="M19" s="44" t="str">
        <x:v>kg</x:v>
      </x:c>
      <x:c r="N19" s="56"/>
      <x:c r="O19" s="44" t="str">
        <x:v>模拟半芯组合样</x:v>
      </x:c>
      <x:c r="P19" s="44" t="str">
        <x:v>未命名原列不适用（模拟）</x:v>
      </x:c>
    </x:row>
    <x:row r="20" ht="23" customHeight="1">
      <x:c r="A20" s="49" t="n">
        <x:f>IF(B20="","",ROW()-5)</x:f>
        <x:v>15</x:v>
      </x:c>
      <x:c r="B20" s="53" t="str">
        <x:v>SIM-S015</x:v>
      </x:c>
      <x:c r="C20" s="53" t="str">
        <x:v>R017</x:v>
      </x:c>
      <x:c r="D20" s="56" t="n">
        <x:v>0.8</x:v>
      </x:c>
      <x:c r="E20" s="53" t="str">
        <x:v>R017</x:v>
      </x:c>
      <x:c r="F20" s="56" t="n">
        <x:v>2.8</x:v>
      </x:c>
      <x:c r="G20" s="56" t="n">
        <x:v>48.8</x:v>
      </x:c>
      <x:c r="H20" s="56" t="n">
        <x:v>50.8</x:v>
      </x:c>
      <x:c r="I20" s="56" t="n">
        <x:v>2</x:v>
      </x:c>
      <x:c r="J20" s="56" t="n">
        <x:v>1.63</x:v>
      </x:c>
      <x:c r="K20" s="58" t="n">
        <x:f>IF(OR(I20="",J20="",I20&lt;=0),"",J20/I20*100)</x:f>
        <x:v>81.5</x:v>
      </x:c>
      <x:c r="L20" s="56" t="n">
        <x:v>2.39</x:v>
      </x:c>
      <x:c r="M20" s="44" t="str">
        <x:v>kg</x:v>
      </x:c>
      <x:c r="N20" s="56"/>
      <x:c r="O20" s="44" t="str">
        <x:v>模拟半芯组合样</x:v>
      </x:c>
      <x:c r="P20" s="44" t="str">
        <x:v>未命名原列不适用（模拟）</x:v>
      </x:c>
    </x:row>
    <x:row r="21" ht="23" customHeight="1">
      <x:c r="A21" s="49" t="n">
        <x:f>IF(B21="","",ROW()-5)</x:f>
        <x:v>16</x:v>
      </x:c>
      <x:c r="B21" s="53" t="str">
        <x:v>SIM-S016</x:v>
      </x:c>
      <x:c r="C21" s="53" t="str">
        <x:v>R018</x:v>
      </x:c>
      <x:c r="D21" s="56" t="n">
        <x:v>0</x:v>
      </x:c>
      <x:c r="E21" s="53" t="str">
        <x:v>R018</x:v>
      </x:c>
      <x:c r="F21" s="56" t="n">
        <x:v>2</x:v>
      </x:c>
      <x:c r="G21" s="56" t="n">
        <x:v>51</x:v>
      </x:c>
      <x:c r="H21" s="56" t="n">
        <x:v>53</x:v>
      </x:c>
      <x:c r="I21" s="56" t="n">
        <x:v>2</x:v>
      </x:c>
      <x:c r="J21" s="56" t="n">
        <x:v>1.57</x:v>
      </x:c>
      <x:c r="K21" s="58" t="n">
        <x:f>IF(OR(I21="",J21="",I21&lt;=0),"",J21/I21*100)</x:f>
        <x:v>78.5</x:v>
      </x:c>
      <x:c r="L21" s="56" t="n">
        <x:v>2.15</x:v>
      </x:c>
      <x:c r="M21" s="44" t="str">
        <x:v>kg</x:v>
      </x:c>
      <x:c r="N21" s="56"/>
      <x:c r="O21" s="44" t="str">
        <x:v>模拟半芯组合样</x:v>
      </x:c>
      <x:c r="P21" s="44" t="str">
        <x:v>未命名原列不适用（模拟）</x:v>
      </x:c>
    </x:row>
    <x:row r="22" ht="23" customHeight="1">
      <x:c r="A22" s="49" t="n">
        <x:f>IF(B22="","",ROW()-5)</x:f>
        <x:v>17</x:v>
      </x:c>
      <x:c r="B22" s="53" t="str">
        <x:v>SIM-S017</x:v>
      </x:c>
      <x:c r="C22" s="53" t="str">
        <x:v>R018</x:v>
      </x:c>
      <x:c r="D22" s="56" t="n">
        <x:v>2.2</x:v>
      </x:c>
      <x:c r="E22" s="53" t="str">
        <x:v>R019</x:v>
      </x:c>
      <x:c r="F22" s="56" t="n">
        <x:v>1.2</x:v>
      </x:c>
      <x:c r="G22" s="56" t="n">
        <x:v>53.2</x:v>
      </x:c>
      <x:c r="H22" s="56" t="n">
        <x:v>55.2</x:v>
      </x:c>
      <x:c r="I22" s="56" t="n">
        <x:v>2</x:v>
      </x:c>
      <x:c r="J22" s="56" t="n">
        <x:v>1.57</x:v>
      </x:c>
      <x:c r="K22" s="58" t="n">
        <x:f>IF(OR(I22="",J22="",I22&lt;=0),"",J22/I22*100)</x:f>
        <x:v>78.5</x:v>
      </x:c>
      <x:c r="L22" s="56" t="n">
        <x:v>2.11</x:v>
      </x:c>
      <x:c r="M22" s="44" t="str">
        <x:v>kg</x:v>
      </x:c>
      <x:c r="N22" s="56"/>
      <x:c r="O22" s="44" t="str">
        <x:v>模拟半芯组合样</x:v>
      </x:c>
      <x:c r="P22" s="44" t="str">
        <x:v>未命名原列不适用（模拟）</x:v>
      </x:c>
    </x:row>
    <x:row r="23" ht="23" customHeight="1">
      <x:c r="A23" s="49" t="n">
        <x:f>IF(B23="","",ROW()-5)</x:f>
        <x:v>18</x:v>
      </x:c>
      <x:c r="B23" s="53" t="str">
        <x:v>SIM-S018</x:v>
      </x:c>
      <x:c r="C23" s="53" t="str">
        <x:v>R019</x:v>
      </x:c>
      <x:c r="D23" s="56" t="n">
        <x:v>1.4</x:v>
      </x:c>
      <x:c r="E23" s="53" t="str">
        <x:v>R020</x:v>
      </x:c>
      <x:c r="F23" s="56" t="n">
        <x:v>0.4</x:v>
      </x:c>
      <x:c r="G23" s="56" t="n">
        <x:v>55.4</x:v>
      </x:c>
      <x:c r="H23" s="56" t="n">
        <x:v>57.4</x:v>
      </x:c>
      <x:c r="I23" s="56" t="n">
        <x:v>2</x:v>
      </x:c>
      <x:c r="J23" s="56" t="n">
        <x:v>1.59</x:v>
      </x:c>
      <x:c r="K23" s="58" t="n">
        <x:f>IF(OR(I23="",J23="",I23&lt;=0),"",J23/I23*100)</x:f>
        <x:v>79.5</x:v>
      </x:c>
      <x:c r="L23" s="56" t="n">
        <x:v>2.27</x:v>
      </x:c>
      <x:c r="M23" s="44" t="str">
        <x:v>kg</x:v>
      </x:c>
      <x:c r="N23" s="56"/>
      <x:c r="O23" s="44" t="str">
        <x:v>模拟半芯组合样</x:v>
      </x:c>
      <x:c r="P23" s="44" t="str">
        <x:v>未命名原列不适用（模拟）</x:v>
      </x:c>
    </x:row>
    <x:row r="24" ht="23" customHeight="1">
      <x:c r="A24" s="49" t="n">
        <x:f>IF(B24="","",ROW()-5)</x:f>
        <x:v>19</x:v>
      </x:c>
      <x:c r="B24" s="53" t="str">
        <x:v>SIM-S019</x:v>
      </x:c>
      <x:c r="C24" s="53" t="str">
        <x:v>R020</x:v>
      </x:c>
      <x:c r="D24" s="56" t="n">
        <x:v>0.6</x:v>
      </x:c>
      <x:c r="E24" s="53" t="str">
        <x:v>R020</x:v>
      </x:c>
      <x:c r="F24" s="56" t="n">
        <x:v>2.6</x:v>
      </x:c>
      <x:c r="G24" s="56" t="n">
        <x:v>57.6</x:v>
      </x:c>
      <x:c r="H24" s="56" t="n">
        <x:v>59.6</x:v>
      </x:c>
      <x:c r="I24" s="56" t="n">
        <x:v>2</x:v>
      </x:c>
      <x:c r="J24" s="56" t="n">
        <x:v>1.64</x:v>
      </x:c>
      <x:c r="K24" s="58" t="n">
        <x:f>IF(OR(I24="",J24="",I24&lt;=0),"",J24/I24*100)</x:f>
        <x:v>82</x:v>
      </x:c>
      <x:c r="L24" s="56" t="n">
        <x:v>2.57</x:v>
      </x:c>
      <x:c r="M24" s="44" t="str">
        <x:v>kg</x:v>
      </x:c>
      <x:c r="N24" s="56"/>
      <x:c r="O24" s="44" t="str">
        <x:v>模拟半芯组合样</x:v>
      </x:c>
      <x:c r="P24" s="44" t="str">
        <x:v>未命名原列不适用（模拟）</x:v>
      </x:c>
    </x:row>
    <x:row r="25" ht="23" customHeight="1">
      <x:c r="A25" s="49" t="n">
        <x:f>IF(B25="","",ROW()-5)</x:f>
        <x:v>20</x:v>
      </x:c>
      <x:c r="B25" s="54" t="str">
        <x:v>SIM-S020</x:v>
      </x:c>
      <x:c r="C25" s="54" t="str">
        <x:v>R020</x:v>
      </x:c>
      <x:c r="D25" s="57" t="n">
        <x:v>2.8</x:v>
      </x:c>
      <x:c r="E25" s="54" t="str">
        <x:v>R021</x:v>
      </x:c>
      <x:c r="F25" s="57" t="n">
        <x:v>1.8</x:v>
      </x:c>
      <x:c r="G25" s="57" t="n">
        <x:v>59.8</x:v>
      </x:c>
      <x:c r="H25" s="57" t="n">
        <x:v>61.8</x:v>
      </x:c>
      <x:c r="I25" s="57" t="n">
        <x:v>2</x:v>
      </x:c>
      <x:c r="J25" s="57" t="n">
        <x:v>1.74</x:v>
      </x:c>
      <x:c r="K25" s="58" t="n">
        <x:f>IF(OR(I25="",J25="",I25&lt;=0),"",J25/I25*100)</x:f>
        <x:v>87</x:v>
      </x:c>
      <x:c r="L25" s="57" t="n">
        <x:v>2.85</x:v>
      </x:c>
      <x:c r="M25" s="45" t="str">
        <x:v>kg</x:v>
      </x:c>
      <x:c r="N25" s="57"/>
      <x:c r="O25" s="45" t="str">
        <x:v>模拟半芯组合样</x:v>
      </x:c>
      <x:c r="P25" s="45" t="str">
        <x:v>未命名原列不适用（模拟）</x:v>
      </x:c>
    </x:row>
    <x:row r="26">
      <x:c r="A26" s="49" t="n">
        <x:f>IF(B26="","",ROW()-5)</x:f>
        <x:v>21</x:v>
      </x:c>
      <x:c r="B26" s="54" t="str">
        <x:v>SIM-S021</x:v>
      </x:c>
      <x:c r="C26" s="54" t="str">
        <x:v>R021</x:v>
      </x:c>
      <x:c r="D26" s="57" t="n">
        <x:v>2</x:v>
      </x:c>
      <x:c r="E26" s="54" t="str">
        <x:v>R022</x:v>
      </x:c>
      <x:c r="F26" s="57" t="n">
        <x:v>1</x:v>
      </x:c>
      <x:c r="G26" s="57" t="n">
        <x:v>62</x:v>
      </x:c>
      <x:c r="H26" s="57" t="n">
        <x:v>64</x:v>
      </x:c>
      <x:c r="I26" s="57" t="n">
        <x:v>2</x:v>
      </x:c>
      <x:c r="J26" s="57" t="n">
        <x:v>1.81</x:v>
      </x:c>
      <x:c r="K26" s="58" t="n">
        <x:f>IF(OR(I26="",J26="",I26&lt;=0),"",J26/I26*100)</x:f>
        <x:v>90.5</x:v>
      </x:c>
      <x:c r="L26" s="57" t="n">
        <x:v>3</x:v>
      </x:c>
      <x:c r="M26" s="45" t="str">
        <x:v>kg</x:v>
      </x:c>
      <x:c r="N26" s="57"/>
      <x:c r="O26" s="45" t="str">
        <x:v>模拟半芯组合样</x:v>
      </x:c>
      <x:c r="P26" s="45" t="str">
        <x:v>未命名原列不适用（模拟）</x:v>
      </x:c>
    </x:row>
    <x:row r="27">
      <x:c r="A27" s="49" t="n">
        <x:f>IF(B27="","",ROW()-5)</x:f>
        <x:v>22</x:v>
      </x:c>
      <x:c r="B27" s="54" t="str">
        <x:v>SIM-S022</x:v>
      </x:c>
      <x:c r="C27" s="54" t="str">
        <x:v>R022</x:v>
      </x:c>
      <x:c r="D27" s="57" t="n">
        <x:v>1.2</x:v>
      </x:c>
      <x:c r="E27" s="54" t="str">
        <x:v>R023</x:v>
      </x:c>
      <x:c r="F27" s="57" t="n">
        <x:v>0.2</x:v>
      </x:c>
      <x:c r="G27" s="57" t="n">
        <x:v>64.2</x:v>
      </x:c>
      <x:c r="H27" s="57" t="n">
        <x:v>66.2</x:v>
      </x:c>
      <x:c r="I27" s="57" t="n">
        <x:v>2</x:v>
      </x:c>
      <x:c r="J27" s="57" t="n">
        <x:v>1.87</x:v>
      </x:c>
      <x:c r="K27" s="58" t="n">
        <x:f>IF(OR(I27="",J27="",I27&lt;=0),"",J27/I27*100)</x:f>
        <x:v>93.5</x:v>
      </x:c>
      <x:c r="L27" s="57" t="n">
        <x:v>2.93</x:v>
      </x:c>
      <x:c r="M27" s="45" t="str">
        <x:v>kg</x:v>
      </x:c>
      <x:c r="N27" s="57"/>
      <x:c r="O27" s="45" t="str">
        <x:v>模拟半芯组合样</x:v>
      </x:c>
      <x:c r="P27" s="45" t="str">
        <x:v>未命名原列不适用（模拟）</x:v>
      </x:c>
    </x:row>
    <x:row r="28">
      <x:c r="A28" s="49" t="n">
        <x:f>IF(B28="","",ROW()-5)</x:f>
        <x:v>23</x:v>
      </x:c>
      <x:c r="B28" s="54" t="str">
        <x:v>SIM-S023</x:v>
      </x:c>
      <x:c r="C28" s="54" t="str">
        <x:v>R023</x:v>
      </x:c>
      <x:c r="D28" s="57" t="n">
        <x:v>0.4</x:v>
      </x:c>
      <x:c r="E28" s="54" t="str">
        <x:v>R023</x:v>
      </x:c>
      <x:c r="F28" s="57" t="n">
        <x:v>2.4</x:v>
      </x:c>
      <x:c r="G28" s="57" t="n">
        <x:v>66.4</x:v>
      </x:c>
      <x:c r="H28" s="57" t="n">
        <x:v>68.4</x:v>
      </x:c>
      <x:c r="I28" s="57" t="n">
        <x:v>2</x:v>
      </x:c>
      <x:c r="J28" s="57" t="n">
        <x:v>1.93</x:v>
      </x:c>
      <x:c r="K28" s="58" t="n">
        <x:f>IF(OR(I28="",J28="",I28&lt;=0),"",J28/I28*100)</x:f>
        <x:v>96.5</x:v>
      </x:c>
      <x:c r="L28" s="57" t="n">
        <x:v>2.69</x:v>
      </x:c>
      <x:c r="M28" s="45" t="str">
        <x:v>kg</x:v>
      </x:c>
      <x:c r="N28" s="57"/>
      <x:c r="O28" s="45" t="str">
        <x:v>模拟半芯组合样</x:v>
      </x:c>
      <x:c r="P28" s="45" t="str">
        <x:v>未命名原列不适用（模拟）</x:v>
      </x:c>
    </x:row>
    <x:row r="29">
      <x:c r="A29" s="49" t="n">
        <x:f>IF(B29="","",ROW()-5)</x:f>
        <x:v>24</x:v>
      </x:c>
      <x:c r="B29" s="54" t="str">
        <x:v>SIM-S024</x:v>
      </x:c>
      <x:c r="C29" s="54" t="str">
        <x:v>R023</x:v>
      </x:c>
      <x:c r="D29" s="57" t="n">
        <x:v>2.6</x:v>
      </x:c>
      <x:c r="E29" s="54" t="str">
        <x:v>R024</x:v>
      </x:c>
      <x:c r="F29" s="57" t="n">
        <x:v>1.6</x:v>
      </x:c>
      <x:c r="G29" s="57" t="n">
        <x:v>68.6</x:v>
      </x:c>
      <x:c r="H29" s="57" t="n">
        <x:v>70.6</x:v>
      </x:c>
      <x:c r="I29" s="57" t="n">
        <x:v>2</x:v>
      </x:c>
      <x:c r="J29" s="57" t="n">
        <x:v>1.93</x:v>
      </x:c>
      <x:c r="K29" s="58" t="n">
        <x:f>IF(OR(I29="",J29="",I29&lt;=0),"",J29/I29*100)</x:f>
        <x:v>96.5</x:v>
      </x:c>
      <x:c r="L29" s="57" t="n">
        <x:v>2.38</x:v>
      </x:c>
      <x:c r="M29" s="45" t="str">
        <x:v>kg</x:v>
      </x:c>
      <x:c r="N29" s="57"/>
      <x:c r="O29" s="45" t="str">
        <x:v>模拟半芯组合样</x:v>
      </x:c>
      <x:c r="P29" s="45" t="str">
        <x:v>未命名原列不适用（模拟）</x:v>
      </x:c>
    </x:row>
    <x:row r="30">
      <x:c r="A30" s="49" t="n">
        <x:f>IF(B30="","",ROW()-5)</x:f>
        <x:v>25</x:v>
      </x:c>
      <x:c r="B30" s="54" t="str">
        <x:v>SIM-S025</x:v>
      </x:c>
      <x:c r="C30" s="54" t="str">
        <x:v>R024</x:v>
      </x:c>
      <x:c r="D30" s="57" t="n">
        <x:v>1.8</x:v>
      </x:c>
      <x:c r="E30" s="54" t="str">
        <x:v>R025</x:v>
      </x:c>
      <x:c r="F30" s="57" t="n">
        <x:v>0.8</x:v>
      </x:c>
      <x:c r="G30" s="57" t="n">
        <x:v>70.8</x:v>
      </x:c>
      <x:c r="H30" s="57" t="n">
        <x:v>72.8</x:v>
      </x:c>
      <x:c r="I30" s="57" t="n">
        <x:v>2</x:v>
      </x:c>
      <x:c r="J30" s="57" t="n">
        <x:v>1.9</x:v>
      </x:c>
      <x:c r="K30" s="58" t="n">
        <x:f>IF(OR(I30="",J30="",I30&lt;=0),"",J30/I30*100)</x:f>
        <x:v>95</x:v>
      </x:c>
      <x:c r="L30" s="57" t="n">
        <x:v>2.15</x:v>
      </x:c>
      <x:c r="M30" s="45" t="str">
        <x:v>kg</x:v>
      </x:c>
      <x:c r="N30" s="57"/>
      <x:c r="O30" s="45" t="str">
        <x:v>模拟半芯组合样</x:v>
      </x:c>
      <x:c r="P30" s="45" t="str">
        <x:v>未命名原列不适用（模拟）</x:v>
      </x:c>
    </x:row>
    <x:row r="31">
      <x:c r="A31" s="49" t="n">
        <x:f>IF(B31="","",ROW()-5)</x:f>
        <x:v>26</x:v>
      </x:c>
      <x:c r="B31" s="54" t="str">
        <x:v>SIM-S026</x:v>
      </x:c>
      <x:c r="C31" s="54" t="str">
        <x:v>R025</x:v>
      </x:c>
      <x:c r="D31" s="57" t="n">
        <x:v>1</x:v>
      </x:c>
      <x:c r="E31" s="54" t="str">
        <x:v>R025</x:v>
      </x:c>
      <x:c r="F31" s="57" t="n">
        <x:v>3</x:v>
      </x:c>
      <x:c r="G31" s="57" t="n">
        <x:v>73</x:v>
      </x:c>
      <x:c r="H31" s="57" t="n">
        <x:v>75</x:v>
      </x:c>
      <x:c r="I31" s="57" t="n">
        <x:v>2</x:v>
      </x:c>
      <x:c r="J31" s="57" t="n">
        <x:v>1.85</x:v>
      </x:c>
      <x:c r="K31" s="58" t="n">
        <x:f>IF(OR(I31="",J31="",I31&lt;=0),"",J31/I31*100)</x:f>
        <x:v>92.5</x:v>
      </x:c>
      <x:c r="L31" s="57" t="n">
        <x:v>2.11</x:v>
      </x:c>
      <x:c r="M31" s="45" t="str">
        <x:v>kg</x:v>
      </x:c>
      <x:c r="N31" s="57"/>
      <x:c r="O31" s="45" t="str">
        <x:v>模拟半芯组合样</x:v>
      </x:c>
      <x:c r="P31" s="45" t="str">
        <x:v>未命名原列不适用（模拟）</x:v>
      </x:c>
    </x:row>
    <x:row r="32">
      <x:c r="A32" s="49" t="n">
        <x:f>IF(B32="","",ROW()-5)</x:f>
        <x:v>27</x:v>
      </x:c>
      <x:c r="B32" s="54" t="str">
        <x:v>SIM-S027</x:v>
      </x:c>
      <x:c r="C32" s="54" t="str">
        <x:v>R026</x:v>
      </x:c>
      <x:c r="D32" s="57" t="n">
        <x:v>0.2</x:v>
      </x:c>
      <x:c r="E32" s="54" t="str">
        <x:v>R026</x:v>
      </x:c>
      <x:c r="F32" s="57" t="n">
        <x:v>2.2</x:v>
      </x:c>
      <x:c r="G32" s="57" t="n">
        <x:v>75.2</x:v>
      </x:c>
      <x:c r="H32" s="57" t="n">
        <x:v>77.2</x:v>
      </x:c>
      <x:c r="I32" s="57" t="n">
        <x:v>2</x:v>
      </x:c>
      <x:c r="J32" s="57" t="n">
        <x:v>1.74</x:v>
      </x:c>
      <x:c r="K32" s="58" t="n">
        <x:f>IF(OR(I32="",J32="",I32&lt;=0),"",J32/I32*100)</x:f>
        <x:v>87</x:v>
      </x:c>
      <x:c r="L32" s="57" t="n">
        <x:v>2.28</x:v>
      </x:c>
      <x:c r="M32" s="45" t="str">
        <x:v>kg</x:v>
      </x:c>
      <x:c r="N32" s="57"/>
      <x:c r="O32" s="45" t="str">
        <x:v>模拟半芯组合样</x:v>
      </x:c>
      <x:c r="P32" s="45" t="str">
        <x:v>未命名原列不适用（模拟）</x:v>
      </x:c>
    </x:row>
    <x:row r="33">
      <x:c r="A33" s="49" t="n">
        <x:f>IF(B33="","",ROW()-5)</x:f>
        <x:v>28</x:v>
      </x:c>
      <x:c r="B33" s="54" t="str">
        <x:v>SIM-S028</x:v>
      </x:c>
      <x:c r="C33" s="54" t="str">
        <x:v>R026</x:v>
      </x:c>
      <x:c r="D33" s="57" t="n">
        <x:v>2.4</x:v>
      </x:c>
      <x:c r="E33" s="54" t="str">
        <x:v>R027</x:v>
      </x:c>
      <x:c r="F33" s="57" t="n">
        <x:v>1.4</x:v>
      </x:c>
      <x:c r="G33" s="57" t="n">
        <x:v>77.4</x:v>
      </x:c>
      <x:c r="H33" s="57" t="n">
        <x:v>79.4</x:v>
      </x:c>
      <x:c r="I33" s="57" t="n">
        <x:v>2</x:v>
      </x:c>
      <x:c r="J33" s="57" t="n">
        <x:v>1.67</x:v>
      </x:c>
      <x:c r="K33" s="58" t="n">
        <x:f>IF(OR(I33="",J33="",I33&lt;=0),"",J33/I33*100)</x:f>
        <x:v>83.5</x:v>
      </x:c>
      <x:c r="L33" s="57" t="n">
        <x:v>2.57</x:v>
      </x:c>
      <x:c r="M33" s="45" t="str">
        <x:v>kg</x:v>
      </x:c>
      <x:c r="N33" s="57"/>
      <x:c r="O33" s="45" t="str">
        <x:v>模拟半芯组合样</x:v>
      </x:c>
      <x:c r="P33" s="45" t="str">
        <x:v>未命名原列不适用（模拟）</x:v>
      </x:c>
    </x:row>
    <x:row r="34">
      <x:c r="A34" s="49" t="n">
        <x:f>IF(B34="","",ROW()-5)</x:f>
        <x:v>29</x:v>
      </x:c>
      <x:c r="B34" s="54" t="str">
        <x:v>SIM-S029</x:v>
      </x:c>
      <x:c r="C34" s="54" t="str">
        <x:v>R027</x:v>
      </x:c>
      <x:c r="D34" s="57" t="n">
        <x:v>1.6</x:v>
      </x:c>
      <x:c r="E34" s="54" t="str">
        <x:v>R028</x:v>
      </x:c>
      <x:c r="F34" s="57" t="n">
        <x:v>0.6</x:v>
      </x:c>
      <x:c r="G34" s="57" t="n">
        <x:v>79.6</x:v>
      </x:c>
      <x:c r="H34" s="57" t="n">
        <x:v>81.6</x:v>
      </x:c>
      <x:c r="I34" s="57" t="n">
        <x:v>2</x:v>
      </x:c>
      <x:c r="J34" s="57" t="n">
        <x:v>1.61</x:v>
      </x:c>
      <x:c r="K34" s="58" t="n">
        <x:f>IF(OR(I34="",J34="",I34&lt;=0),"",J34/I34*100)</x:f>
        <x:v>80.5</x:v>
      </x:c>
      <x:c r="L34" s="57" t="n">
        <x:v>2.86</x:v>
      </x:c>
      <x:c r="M34" s="45" t="str">
        <x:v>kg</x:v>
      </x:c>
      <x:c r="N34" s="57"/>
      <x:c r="O34" s="45" t="str">
        <x:v>模拟半芯组合样</x:v>
      </x:c>
      <x:c r="P34" s="45" t="str">
        <x:v>未命名原列不适用（模拟）</x:v>
      </x:c>
    </x:row>
    <x:row r="35">
      <x:c r="A35" s="49" t="n">
        <x:f>IF(B35="","",ROW()-5)</x:f>
        <x:v>30</x:v>
      </x:c>
      <x:c r="B35" s="54" t="str">
        <x:v>SIM-S030</x:v>
      </x:c>
      <x:c r="C35" s="54" t="str">
        <x:v>R028</x:v>
      </x:c>
      <x:c r="D35" s="57" t="n">
        <x:v>0.8</x:v>
      </x:c>
      <x:c r="E35" s="54" t="str">
        <x:v>R028</x:v>
      </x:c>
      <x:c r="F35" s="57" t="n">
        <x:v>2.8</x:v>
      </x:c>
      <x:c r="G35" s="57" t="n">
        <x:v>81.8</x:v>
      </x:c>
      <x:c r="H35" s="57" t="n">
        <x:v>83.8</x:v>
      </x:c>
      <x:c r="I35" s="57" t="n">
        <x:v>2</x:v>
      </x:c>
      <x:c r="J35" s="57" t="n">
        <x:v>1.57</x:v>
      </x:c>
      <x:c r="K35" s="58" t="n">
        <x:f>IF(OR(I35="",J35="",I35&lt;=0),"",J35/I35*100)</x:f>
        <x:v>78.5</x:v>
      </x:c>
      <x:c r="L35" s="57" t="n">
        <x:v>3</x:v>
      </x:c>
      <x:c r="M35" s="45" t="str">
        <x:v>kg</x:v>
      </x:c>
      <x:c r="N35" s="57"/>
      <x:c r="O35" s="45" t="str">
        <x:v>模拟半芯组合样</x:v>
      </x:c>
      <x:c r="P35" s="45" t="str">
        <x:v>未命名原列不适用（模拟）</x:v>
      </x:c>
    </x:row>
    <x:row r="36">
      <x:c r="A36" s="49" t="n">
        <x:f>IF(B36="","",ROW()-5)</x:f>
        <x:v>31</x:v>
      </x:c>
      <x:c r="B36" s="54" t="str">
        <x:v>SIM-S031</x:v>
      </x:c>
      <x:c r="C36" s="54" t="str">
        <x:v>R029</x:v>
      </x:c>
      <x:c r="D36" s="57" t="n">
        <x:v>0</x:v>
      </x:c>
      <x:c r="E36" s="54" t="str">
        <x:v>R029</x:v>
      </x:c>
      <x:c r="F36" s="57" t="n">
        <x:v>2</x:v>
      </x:c>
      <x:c r="G36" s="57" t="n">
        <x:v>84</x:v>
      </x:c>
      <x:c r="H36" s="57" t="n">
        <x:v>86</x:v>
      </x:c>
      <x:c r="I36" s="57" t="n">
        <x:v>2</x:v>
      </x:c>
      <x:c r="J36" s="57" t="n">
        <x:v>1.57</x:v>
      </x:c>
      <x:c r="K36" s="58" t="n">
        <x:f>IF(OR(I36="",J36="",I36&lt;=0),"",J36/I36*100)</x:f>
        <x:v>78.5</x:v>
      </x:c>
      <x:c r="L36" s="57" t="n">
        <x:v>2.93</x:v>
      </x:c>
      <x:c r="M36" s="45" t="str">
        <x:v>kg</x:v>
      </x:c>
      <x:c r="N36" s="57"/>
      <x:c r="O36" s="45" t="str">
        <x:v>模拟半芯组合样</x:v>
      </x:c>
      <x:c r="P36" s="45" t="str">
        <x:v>未命名原列不适用（模拟）</x:v>
      </x:c>
    </x:row>
    <x:row r="37">
      <x:c r="A37" s="49" t="n">
        <x:f>IF(B37="","",ROW()-5)</x:f>
        <x:v>32</x:v>
      </x:c>
      <x:c r="B37" s="54" t="str">
        <x:v>SIM-S032</x:v>
      </x:c>
      <x:c r="C37" s="54" t="str">
        <x:v>R029</x:v>
      </x:c>
      <x:c r="D37" s="57" t="n">
        <x:v>2.2</x:v>
      </x:c>
      <x:c r="E37" s="54" t="str">
        <x:v>R030</x:v>
      </x:c>
      <x:c r="F37" s="57" t="n">
        <x:v>1.2</x:v>
      </x:c>
      <x:c r="G37" s="57" t="n">
        <x:v>86.2</x:v>
      </x:c>
      <x:c r="H37" s="57" t="n">
        <x:v>88.2</x:v>
      </x:c>
      <x:c r="I37" s="57" t="n">
        <x:v>2</x:v>
      </x:c>
      <x:c r="J37" s="57" t="n">
        <x:v>1.62</x:v>
      </x:c>
      <x:c r="K37" s="58" t="n">
        <x:f>IF(OR(I37="",J37="",I37&lt;=0),"",J37/I37*100)</x:f>
        <x:v>81</x:v>
      </x:c>
      <x:c r="L37" s="57" t="n">
        <x:v>2.68</x:v>
      </x:c>
      <x:c r="M37" s="45" t="str">
        <x:v>kg</x:v>
      </x:c>
      <x:c r="N37" s="57"/>
      <x:c r="O37" s="45" t="str">
        <x:v>模拟半芯组合样</x:v>
      </x:c>
      <x:c r="P37" s="45" t="str">
        <x:v>未命名原列不适用（模拟）</x:v>
      </x:c>
    </x:row>
    <x:row r="38">
      <x:c r="A38" s="49" t="n">
        <x:f>IF(B38="","",ROW()-5)</x:f>
        <x:v>33</x:v>
      </x:c>
      <x:c r="B38" s="54" t="str">
        <x:v>SIM-S033</x:v>
      </x:c>
      <x:c r="C38" s="54" t="str">
        <x:v>R030</x:v>
      </x:c>
      <x:c r="D38" s="57" t="n">
        <x:v>1.4</x:v>
      </x:c>
      <x:c r="E38" s="54" t="str">
        <x:v>R031</x:v>
      </x:c>
      <x:c r="F38" s="57" t="n">
        <x:v>0.4</x:v>
      </x:c>
      <x:c r="G38" s="57" t="n">
        <x:v>88.4</x:v>
      </x:c>
      <x:c r="H38" s="57" t="n">
        <x:v>90.4</x:v>
      </x:c>
      <x:c r="I38" s="57" t="n">
        <x:v>2</x:v>
      </x:c>
      <x:c r="J38" s="57" t="n">
        <x:v>1.67</x:v>
      </x:c>
      <x:c r="K38" s="58" t="n">
        <x:f>IF(OR(I38="",J38="",I38&lt;=0),"",J38/I38*100)</x:f>
        <x:v>83.5</x:v>
      </x:c>
      <x:c r="L38" s="57" t="n">
        <x:v>2.37</x:v>
      </x:c>
      <x:c r="M38" s="45" t="str">
        <x:v>kg</x:v>
      </x:c>
      <x:c r="N38" s="57"/>
      <x:c r="O38" s="45" t="str">
        <x:v>模拟半芯组合样</x:v>
      </x:c>
      <x:c r="P38" s="45" t="str">
        <x:v>未命名原列不适用（模拟）</x:v>
      </x:c>
    </x:row>
    <x:row r="39">
      <x:c r="A39" s="49" t="n">
        <x:f>IF(B39="","",ROW()-5)</x:f>
        <x:v>34</x:v>
      </x:c>
      <x:c r="B39" s="54" t="str">
        <x:v>SIM-S034</x:v>
      </x:c>
      <x:c r="C39" s="54" t="str">
        <x:v>R031</x:v>
      </x:c>
      <x:c r="D39" s="57" t="n">
        <x:v>0.6</x:v>
      </x:c>
      <x:c r="E39" s="54" t="str">
        <x:v>R031</x:v>
      </x:c>
      <x:c r="F39" s="57" t="n">
        <x:v>2.6</x:v>
      </x:c>
      <x:c r="G39" s="57" t="n">
        <x:v>90.6</x:v>
      </x:c>
      <x:c r="H39" s="57" t="n">
        <x:v>92.6</x:v>
      </x:c>
      <x:c r="I39" s="57" t="n">
        <x:v>2</x:v>
      </x:c>
      <x:c r="J39" s="57" t="n">
        <x:v>1.76</x:v>
      </x:c>
      <x:c r="K39" s="58" t="n">
        <x:f>IF(OR(I39="",J39="",I39&lt;=0),"",J39/I39*100)</x:f>
        <x:v>88</x:v>
      </x:c>
      <x:c r="L39" s="57" t="n">
        <x:v>2.15</x:v>
      </x:c>
      <x:c r="M39" s="45" t="str">
        <x:v>kg</x:v>
      </x:c>
      <x:c r="N39" s="57"/>
      <x:c r="O39" s="45" t="str">
        <x:v>模拟半芯组合样</x:v>
      </x:c>
      <x:c r="P39" s="45" t="str">
        <x:v>未命名原列不适用（模拟）</x:v>
      </x:c>
    </x:row>
    <x:row r="40">
      <x:c r="A40" s="49" t="n">
        <x:f>IF(B40="","",ROW()-5)</x:f>
        <x:v>35</x:v>
      </x:c>
      <x:c r="B40" s="54" t="str">
        <x:v>SIM-S035</x:v>
      </x:c>
      <x:c r="C40" s="54" t="str">
        <x:v>R031</x:v>
      </x:c>
      <x:c r="D40" s="57" t="n">
        <x:v>2.8</x:v>
      </x:c>
      <x:c r="E40" s="54" t="str">
        <x:v>R032</x:v>
      </x:c>
      <x:c r="F40" s="57" t="n">
        <x:v>1.8</x:v>
      </x:c>
      <x:c r="G40" s="57" t="n">
        <x:v>92.8</x:v>
      </x:c>
      <x:c r="H40" s="57" t="n">
        <x:v>94.8</x:v>
      </x:c>
      <x:c r="I40" s="57" t="n">
        <x:v>2</x:v>
      </x:c>
      <x:c r="J40" s="57" t="n">
        <x:v>1.86</x:v>
      </x:c>
      <x:c r="K40" s="58" t="n">
        <x:f>IF(OR(I40="",J40="",I40&lt;=0),"",J40/I40*100)</x:f>
        <x:v>93</x:v>
      </x:c>
      <x:c r="L40" s="57" t="n">
        <x:v>2.11</x:v>
      </x:c>
      <x:c r="M40" s="45" t="str">
        <x:v>kg</x:v>
      </x:c>
      <x:c r="N40" s="57"/>
      <x:c r="O40" s="45" t="str">
        <x:v>模拟半芯组合样</x:v>
      </x:c>
      <x:c r="P40" s="45" t="str">
        <x:v>未命名原列不适用（模拟）</x:v>
      </x:c>
    </x:row>
    <x:row r="41">
      <x:c r="A41" s="49" t="n">
        <x:f>IF(B41="","",ROW()-5)</x:f>
        <x:v>36</x:v>
      </x:c>
      <x:c r="B41" s="54" t="str">
        <x:v>SIM-S036</x:v>
      </x:c>
      <x:c r="C41" s="54" t="str">
        <x:v>R032</x:v>
      </x:c>
      <x:c r="D41" s="57" t="n">
        <x:v>2</x:v>
      </x:c>
      <x:c r="E41" s="54" t="str">
        <x:v>R033</x:v>
      </x:c>
      <x:c r="F41" s="57" t="n">
        <x:v>1</x:v>
      </x:c>
      <x:c r="G41" s="57" t="n">
        <x:v>95</x:v>
      </x:c>
      <x:c r="H41" s="57" t="n">
        <x:v>97</x:v>
      </x:c>
      <x:c r="I41" s="57" t="n">
        <x:v>2</x:v>
      </x:c>
      <x:c r="J41" s="57" t="n">
        <x:v>1.9</x:v>
      </x:c>
      <x:c r="K41" s="58" t="n">
        <x:f>IF(OR(I41="",J41="",I41&lt;=0),"",J41/I41*100)</x:f>
        <x:v>95</x:v>
      </x:c>
      <x:c r="L41" s="57" t="n">
        <x:v>2.28</x:v>
      </x:c>
      <x:c r="M41" s="45" t="str">
        <x:v>kg</x:v>
      </x:c>
      <x:c r="N41" s="57"/>
      <x:c r="O41" s="45" t="str">
        <x:v>模拟半芯组合样</x:v>
      </x:c>
      <x:c r="P41" s="45" t="str">
        <x:v>未命名原列不适用（模拟）</x:v>
      </x:c>
    </x:row>
    <x:row r="42">
      <x:c r="A42" s="49" t="n">
        <x:f>IF(B42="","",ROW()-5)</x:f>
        <x:v>37</x:v>
      </x:c>
      <x:c r="B42" s="54" t="str">
        <x:v>SIM-S037</x:v>
      </x:c>
      <x:c r="C42" s="54" t="str">
        <x:v>R033</x:v>
      </x:c>
      <x:c r="D42" s="57" t="n">
        <x:v>1.2</x:v>
      </x:c>
      <x:c r="E42" s="54" t="str">
        <x:v>R034</x:v>
      </x:c>
      <x:c r="F42" s="57" t="n">
        <x:v>0.2</x:v>
      </x:c>
      <x:c r="G42" s="57" t="n">
        <x:v>97.2</x:v>
      </x:c>
      <x:c r="H42" s="57" t="n">
        <x:v>99.2</x:v>
      </x:c>
      <x:c r="I42" s="57" t="n">
        <x:v>2</x:v>
      </x:c>
      <x:c r="J42" s="57" t="n">
        <x:v>1.93</x:v>
      </x:c>
      <x:c r="K42" s="58" t="n">
        <x:f>IF(OR(I42="",J42="",I42&lt;=0),"",J42/I42*100)</x:f>
        <x:v>96.5</x:v>
      </x:c>
      <x:c r="L42" s="57" t="n">
        <x:v>2.58</x:v>
      </x:c>
      <x:c r="M42" s="45" t="str">
        <x:v>kg</x:v>
      </x:c>
      <x:c r="N42" s="57"/>
      <x:c r="O42" s="45" t="str">
        <x:v>模拟半芯组合样</x:v>
      </x:c>
      <x:c r="P42" s="45" t="str">
        <x:v>未命名原列不适用（模拟）</x:v>
      </x:c>
    </x:row>
    <x:row r="43">
      <x:c r="A43" s="49" t="n">
        <x:f>IF(B43="","",ROW()-5)</x:f>
        <x:v>38</x:v>
      </x:c>
      <x:c r="B43" s="54" t="str">
        <x:v>SIM-S038</x:v>
      </x:c>
      <x:c r="C43" s="54" t="str">
        <x:v>R034</x:v>
      </x:c>
      <x:c r="D43" s="57" t="n">
        <x:v>0.4</x:v>
      </x:c>
      <x:c r="E43" s="54" t="str">
        <x:v>R034</x:v>
      </x:c>
      <x:c r="F43" s="57" t="n">
        <x:v>2.4</x:v>
      </x:c>
      <x:c r="G43" s="57" t="n">
        <x:v>99.4</x:v>
      </x:c>
      <x:c r="H43" s="57" t="n">
        <x:v>101.4</x:v>
      </x:c>
      <x:c r="I43" s="57" t="n">
        <x:v>2</x:v>
      </x:c>
      <x:c r="J43" s="57" t="n">
        <x:v>1.93</x:v>
      </x:c>
      <x:c r="K43" s="58" t="n">
        <x:f>IF(OR(I43="",J43="",I43&lt;=0),"",J43/I43*100)</x:f>
        <x:v>96.5</x:v>
      </x:c>
      <x:c r="L43" s="57" t="n">
        <x:v>2.86</x:v>
      </x:c>
      <x:c r="M43" s="45" t="str">
        <x:v>kg</x:v>
      </x:c>
      <x:c r="N43" s="57"/>
      <x:c r="O43" s="45" t="str">
        <x:v>模拟半芯组合样</x:v>
      </x:c>
      <x:c r="P43" s="45" t="str">
        <x:v>未命名原列不适用（模拟）</x:v>
      </x:c>
    </x:row>
    <x:row r="44">
      <x:c r="A44" s="49" t="n">
        <x:f>IF(B44="","",ROW()-5)</x:f>
        <x:v>39</x:v>
      </x:c>
      <x:c r="B44" s="54" t="str">
        <x:v>SIM-S039</x:v>
      </x:c>
      <x:c r="C44" s="54" t="str">
        <x:v>R034</x:v>
      </x:c>
      <x:c r="D44" s="57" t="n">
        <x:v>2.6</x:v>
      </x:c>
      <x:c r="E44" s="54" t="str">
        <x:v>R035</x:v>
      </x:c>
      <x:c r="F44" s="57" t="n">
        <x:v>1.6</x:v>
      </x:c>
      <x:c r="G44" s="57" t="n">
        <x:v>101.6</x:v>
      </x:c>
      <x:c r="H44" s="57" t="n">
        <x:v>103.6</x:v>
      </x:c>
      <x:c r="I44" s="57" t="n">
        <x:v>2</x:v>
      </x:c>
      <x:c r="J44" s="57" t="n">
        <x:v>1.87</x:v>
      </x:c>
      <x:c r="K44" s="58" t="n">
        <x:f>IF(OR(I44="",J44="",I44&lt;=0),"",J44/I44*100)</x:f>
        <x:v>93.5</x:v>
      </x:c>
      <x:c r="L44" s="57" t="n">
        <x:v>3</x:v>
      </x:c>
      <x:c r="M44" s="45" t="str">
        <x:v>kg</x:v>
      </x:c>
      <x:c r="N44" s="57"/>
      <x:c r="O44" s="45" t="str">
        <x:v>模拟半芯组合样</x:v>
      </x:c>
      <x:c r="P44" s="45" t="str">
        <x:v>未命名原列不适用（模拟）</x:v>
      </x:c>
    </x:row>
    <x:row r="45">
      <x:c r="A45" s="49" t="n">
        <x:f>IF(B45="","",ROW()-5)</x:f>
        <x:v>40</x:v>
      </x:c>
      <x:c r="B45" s="54" t="str">
        <x:v>SIM-S040</x:v>
      </x:c>
      <x:c r="C45" s="54" t="str">
        <x:v>R035</x:v>
      </x:c>
      <x:c r="D45" s="57" t="n">
        <x:v>1.8</x:v>
      </x:c>
      <x:c r="E45" s="54" t="str">
        <x:v>R036</x:v>
      </x:c>
      <x:c r="F45" s="57" t="n">
        <x:v>0.8</x:v>
      </x:c>
      <x:c r="G45" s="57" t="n">
        <x:v>103.8</x:v>
      </x:c>
      <x:c r="H45" s="57" t="n">
        <x:v>105.8</x:v>
      </x:c>
      <x:c r="I45" s="57" t="n">
        <x:v>2</x:v>
      </x:c>
      <x:c r="J45" s="57" t="n">
        <x:v>1.81</x:v>
      </x:c>
      <x:c r="K45" s="58" t="n">
        <x:f>IF(OR(I45="",J45="",I45&lt;=0),"",J45/I45*100)</x:f>
        <x:v>90.5</x:v>
      </x:c>
      <x:c r="L45" s="57" t="n">
        <x:v>2.92</x:v>
      </x:c>
      <x:c r="M45" s="45" t="str">
        <x:v>kg</x:v>
      </x:c>
      <x:c r="N45" s="57"/>
      <x:c r="O45" s="45" t="str">
        <x:v>模拟半芯组合样</x:v>
      </x:c>
      <x:c r="P45" s="45" t="str">
        <x:v>未命名原列不适用（模拟）</x:v>
      </x:c>
    </x:row>
    <x:row r="46">
      <x:c r="A46" s="49" t="n">
        <x:f>IF(B46="","",ROW()-5)</x:f>
        <x:v>41</x:v>
      </x:c>
      <x:c r="B46" s="54" t="str">
        <x:v>SIM-S041</x:v>
      </x:c>
      <x:c r="C46" s="54" t="str">
        <x:v>R036</x:v>
      </x:c>
      <x:c r="D46" s="57" t="n">
        <x:v>1</x:v>
      </x:c>
      <x:c r="E46" s="54" t="str">
        <x:v>R036</x:v>
      </x:c>
      <x:c r="F46" s="57" t="n">
        <x:v>3</x:v>
      </x:c>
      <x:c r="G46" s="57" t="n">
        <x:v>106</x:v>
      </x:c>
      <x:c r="H46" s="57" t="n">
        <x:v>108</x:v>
      </x:c>
      <x:c r="I46" s="57" t="n">
        <x:v>2</x:v>
      </x:c>
      <x:c r="J46" s="57" t="n">
        <x:v>1.74</x:v>
      </x:c>
      <x:c r="K46" s="58" t="n">
        <x:f>IF(OR(I46="",J46="",I46&lt;=0),"",J46/I46*100)</x:f>
        <x:v>87</x:v>
      </x:c>
      <x:c r="L46" s="57" t="n">
        <x:v>2.67</x:v>
      </x:c>
      <x:c r="M46" s="45" t="str">
        <x:v>kg</x:v>
      </x:c>
      <x:c r="N46" s="57"/>
      <x:c r="O46" s="45" t="str">
        <x:v>模拟半芯组合样</x:v>
      </x:c>
      <x:c r="P46" s="45" t="str">
        <x:v>未命名原列不适用（模拟）</x:v>
      </x:c>
    </x:row>
    <x:row r="47">
      <x:c r="A47" s="49" t="n">
        <x:f>IF(B47="","",ROW()-5)</x:f>
        <x:v>42</x:v>
      </x:c>
      <x:c r="B47" s="54" t="str">
        <x:v>SIM-S042</x:v>
      </x:c>
      <x:c r="C47" s="54" t="str">
        <x:v>R037</x:v>
      </x:c>
      <x:c r="D47" s="57" t="n">
        <x:v>0.2</x:v>
      </x:c>
      <x:c r="E47" s="54" t="str">
        <x:v>R037</x:v>
      </x:c>
      <x:c r="F47" s="57" t="n">
        <x:v>2.2</x:v>
      </x:c>
      <x:c r="G47" s="57" t="n">
        <x:v>108.2</x:v>
      </x:c>
      <x:c r="H47" s="57" t="n">
        <x:v>110.2</x:v>
      </x:c>
      <x:c r="I47" s="57" t="n">
        <x:v>2</x:v>
      </x:c>
      <x:c r="J47" s="57" t="n">
        <x:v>1.63</x:v>
      </x:c>
      <x:c r="K47" s="58" t="n">
        <x:f>IF(OR(I47="",J47="",I47&lt;=0),"",J47/I47*100)</x:f>
        <x:v>81.5</x:v>
      </x:c>
      <x:c r="L47" s="57" t="n">
        <x:v>2.36</x:v>
      </x:c>
      <x:c r="M47" s="45" t="str">
        <x:v>kg</x:v>
      </x:c>
      <x:c r="N47" s="57"/>
      <x:c r="O47" s="45" t="str">
        <x:v>模拟半芯组合样</x:v>
      </x:c>
      <x:c r="P47" s="45" t="str">
        <x:v>未命名原列不适用（模拟）</x:v>
      </x:c>
    </x:row>
    <x:row r="48">
      <x:c r="A48" s="49" t="n">
        <x:f>IF(B48="","",ROW()-5)</x:f>
        <x:v>43</x:v>
      </x:c>
      <x:c r="B48" s="54" t="str">
        <x:v>SIM-S043</x:v>
      </x:c>
      <x:c r="C48" s="54" t="str">
        <x:v>R037</x:v>
      </x:c>
      <x:c r="D48" s="57" t="n">
        <x:v>2.4</x:v>
      </x:c>
      <x:c r="E48" s="54" t="str">
        <x:v>R038</x:v>
      </x:c>
      <x:c r="F48" s="57" t="n">
        <x:v>1.4</x:v>
      </x:c>
      <x:c r="G48" s="57" t="n">
        <x:v>110.4</x:v>
      </x:c>
      <x:c r="H48" s="57" t="n">
        <x:v>112.4</x:v>
      </x:c>
      <x:c r="I48" s="57" t="n">
        <x:v>2</x:v>
      </x:c>
      <x:c r="J48" s="57" t="n">
        <x:v>1.58</x:v>
      </x:c>
      <x:c r="K48" s="58" t="n">
        <x:f>IF(OR(I48="",J48="",I48&lt;=0),"",J48/I48*100)</x:f>
        <x:v>79</x:v>
      </x:c>
      <x:c r="L48" s="57" t="n">
        <x:v>2.14</x:v>
      </x:c>
      <x:c r="M48" s="45" t="str">
        <x:v>kg</x:v>
      </x:c>
      <x:c r="N48" s="57"/>
      <x:c r="O48" s="45" t="str">
        <x:v>模拟半芯组合样</x:v>
      </x:c>
      <x:c r="P48" s="45" t="str">
        <x:v>未命名原列不适用（模拟）</x:v>
      </x:c>
    </x:row>
    <x:row r="49">
      <x:c r="A49" s="49" t="n">
        <x:f>IF(B49="","",ROW()-5)</x:f>
        <x:v>44</x:v>
      </x:c>
      <x:c r="B49" s="54" t="str">
        <x:v>SIM-S044</x:v>
      </x:c>
      <x:c r="C49" s="54" t="str">
        <x:v>R038</x:v>
      </x:c>
      <x:c r="D49" s="57" t="n">
        <x:v>1.6</x:v>
      </x:c>
      <x:c r="E49" s="54" t="str">
        <x:v>R039</x:v>
      </x:c>
      <x:c r="F49" s="57" t="n">
        <x:v>0.6</x:v>
      </x:c>
      <x:c r="G49" s="57" t="n">
        <x:v>112.6</x:v>
      </x:c>
      <x:c r="H49" s="57" t="n">
        <x:v>114.6</x:v>
      </x:c>
      <x:c r="I49" s="57" t="n">
        <x:v>2</x:v>
      </x:c>
      <x:c r="J49" s="57" t="n">
        <x:v>1.57</x:v>
      </x:c>
      <x:c r="K49" s="58" t="n">
        <x:f>IF(OR(I49="",J49="",I49&lt;=0),"",J49/I49*100)</x:f>
        <x:v>78.5</x:v>
      </x:c>
      <x:c r="L49" s="57" t="n">
        <x:v>2.11</x:v>
      </x:c>
      <x:c r="M49" s="45" t="str">
        <x:v>kg</x:v>
      </x:c>
      <x:c r="N49" s="57"/>
      <x:c r="O49" s="45" t="str">
        <x:v>模拟半芯组合样</x:v>
      </x:c>
      <x:c r="P49" s="45" t="str">
        <x:v>未命名原列不适用（模拟）</x:v>
      </x:c>
    </x:row>
    <x:row r="50">
      <x:c r="A50" s="49" t="n">
        <x:f>IF(B50="","",ROW()-5)</x:f>
        <x:v>45</x:v>
      </x:c>
      <x:c r="B50" s="54" t="str">
        <x:v>SIM-S045</x:v>
      </x:c>
      <x:c r="C50" s="54" t="str">
        <x:v>R039</x:v>
      </x:c>
      <x:c r="D50" s="57" t="n">
        <x:v>0.8</x:v>
      </x:c>
      <x:c r="E50" s="54" t="str">
        <x:v>R039</x:v>
      </x:c>
      <x:c r="F50" s="57" t="n">
        <x:v>2.8</x:v>
      </x:c>
      <x:c r="G50" s="57" t="n">
        <x:v>114.8</x:v>
      </x:c>
      <x:c r="H50" s="57" t="n">
        <x:v>116.8</x:v>
      </x:c>
      <x:c r="I50" s="57" t="n">
        <x:v>2</x:v>
      </x:c>
      <x:c r="J50" s="57" t="n">
        <x:v>1.57</x:v>
      </x:c>
      <x:c r="K50" s="58" t="n">
        <x:f>IF(OR(I50="",J50="",I50&lt;=0),"",J50/I50*100)</x:f>
        <x:v>78.5</x:v>
      </x:c>
      <x:c r="L50" s="57" t="n">
        <x:v>2.29</x:v>
      </x:c>
      <x:c r="M50" s="45" t="str">
        <x:v>kg</x:v>
      </x:c>
      <x:c r="N50" s="57"/>
      <x:c r="O50" s="45" t="str">
        <x:v>模拟半芯组合样</x:v>
      </x:c>
      <x:c r="P50" s="45" t="str">
        <x:v>未命名原列不适用（模拟）</x:v>
      </x:c>
    </x:row>
    <x:row r="51">
      <x:c r="A51" s="49" t="n">
        <x:f>IF(B51="","",ROW()-5)</x:f>
        <x:v>46</x:v>
      </x:c>
      <x:c r="B51" s="54" t="str">
        <x:v>SIM-S046</x:v>
      </x:c>
      <x:c r="C51" s="54" t="str">
        <x:v>R040</x:v>
      </x:c>
      <x:c r="D51" s="57" t="n">
        <x:v>0</x:v>
      </x:c>
      <x:c r="E51" s="54" t="str">
        <x:v>R040</x:v>
      </x:c>
      <x:c r="F51" s="57" t="n">
        <x:v>2</x:v>
      </x:c>
      <x:c r="G51" s="57" t="n">
        <x:v>117</x:v>
      </x:c>
      <x:c r="H51" s="57" t="n">
        <x:v>119</x:v>
      </x:c>
      <x:c r="I51" s="57" t="n">
        <x:v>2</x:v>
      </x:c>
      <x:c r="J51" s="57" t="n">
        <x:v>1.65</x:v>
      </x:c>
      <x:c r="K51" s="58" t="n">
        <x:f>IF(OR(I51="",J51="",I51&lt;=0),"",J51/I51*100)</x:f>
        <x:v>82.5</x:v>
      </x:c>
      <x:c r="L51" s="57" t="n">
        <x:v>2.59</x:v>
      </x:c>
      <x:c r="M51" s="45" t="str">
        <x:v>kg</x:v>
      </x:c>
      <x:c r="N51" s="57"/>
      <x:c r="O51" s="45" t="str">
        <x:v>模拟半芯组合样</x:v>
      </x:c>
      <x:c r="P51" s="45" t="str">
        <x:v>未命名原列不适用（模拟）</x:v>
      </x:c>
    </x:row>
    <x:row r="52">
      <x:c r="A52" s="49" t="n">
        <x:f>IF(B52="","",ROW()-5)</x:f>
        <x:v>47</x:v>
      </x:c>
      <x:c r="B52" s="54" t="str">
        <x:v>SIM-S047</x:v>
      </x:c>
      <x:c r="C52" s="54" t="str">
        <x:v>R040</x:v>
      </x:c>
      <x:c r="D52" s="57" t="n">
        <x:v>2.2</x:v>
      </x:c>
      <x:c r="E52" s="54" t="str">
        <x:v>R041</x:v>
      </x:c>
      <x:c r="F52" s="57" t="n">
        <x:v>1.2</x:v>
      </x:c>
      <x:c r="G52" s="57" t="n">
        <x:v>119.2</x:v>
      </x:c>
      <x:c r="H52" s="57" t="n">
        <x:v>121.2</x:v>
      </x:c>
      <x:c r="I52" s="57" t="n">
        <x:v>2</x:v>
      </x:c>
      <x:c r="J52" s="57" t="n">
        <x:v>1.71</x:v>
      </x:c>
      <x:c r="K52" s="58" t="n">
        <x:f>IF(OR(I52="",J52="",I52&lt;=0),"",J52/I52*100)</x:f>
        <x:v>85.5</x:v>
      </x:c>
      <x:c r="L52" s="57" t="n">
        <x:v>2.87</x:v>
      </x:c>
      <x:c r="M52" s="45" t="str">
        <x:v>kg</x:v>
      </x:c>
      <x:c r="N52" s="57"/>
      <x:c r="O52" s="45" t="str">
        <x:v>模拟半芯组合样</x:v>
      </x:c>
      <x:c r="P52" s="45" t="str">
        <x:v>未命名原列不适用（模拟）</x:v>
      </x:c>
    </x:row>
    <x:row r="53">
      <x:c r="A53" s="49" t="n">
        <x:f>IF(B53="","",ROW()-5)</x:f>
        <x:v>48</x:v>
      </x:c>
      <x:c r="B53" s="54" t="str">
        <x:v>SIM-S048</x:v>
      </x:c>
      <x:c r="C53" s="54" t="str">
        <x:v>R041</x:v>
      </x:c>
      <x:c r="D53" s="57" t="n">
        <x:v>1.4</x:v>
      </x:c>
      <x:c r="E53" s="54" t="str">
        <x:v>R042</x:v>
      </x:c>
      <x:c r="F53" s="57" t="n">
        <x:v>0.4</x:v>
      </x:c>
      <x:c r="G53" s="57" t="n">
        <x:v>121.4</x:v>
      </x:c>
      <x:c r="H53" s="57" t="n">
        <x:v>123.4</x:v>
      </x:c>
      <x:c r="I53" s="57" t="n">
        <x:v>2</x:v>
      </x:c>
      <x:c r="J53" s="57" t="n">
        <x:v>1.78</x:v>
      </x:c>
      <x:c r="K53" s="58" t="n">
        <x:f>IF(OR(I53="",J53="",I53&lt;=0),"",J53/I53*100)</x:f>
        <x:v>89</x:v>
      </x:c>
      <x:c r="L53" s="57" t="n">
        <x:v>3</x:v>
      </x:c>
      <x:c r="M53" s="45" t="str">
        <x:v>kg</x:v>
      </x:c>
      <x:c r="N53" s="57"/>
      <x:c r="O53" s="45" t="str">
        <x:v>模拟半芯组合样</x:v>
      </x:c>
      <x:c r="P53" s="45" t="str">
        <x:v>未命名原列不适用（模拟）</x:v>
      </x:c>
    </x:row>
    <x:row r="54">
      <x:c r="A54" s="49" t="n">
        <x:f>IF(B54="","",ROW()-5)</x:f>
        <x:v>49</x:v>
      </x:c>
      <x:c r="B54" s="54" t="str">
        <x:v>SIM-S049</x:v>
      </x:c>
      <x:c r="C54" s="54" t="str">
        <x:v>R042</x:v>
      </x:c>
      <x:c r="D54" s="57" t="n">
        <x:v>0.6</x:v>
      </x:c>
      <x:c r="E54" s="54" t="str">
        <x:v>R042</x:v>
      </x:c>
      <x:c r="F54" s="57" t="n">
        <x:v>2.6</x:v>
      </x:c>
      <x:c r="G54" s="57" t="n">
        <x:v>123.6</x:v>
      </x:c>
      <x:c r="H54" s="57" t="n">
        <x:v>125.6</x:v>
      </x:c>
      <x:c r="I54" s="57" t="n">
        <x:v>2</x:v>
      </x:c>
      <x:c r="J54" s="57" t="n">
        <x:v>1.87</x:v>
      </x:c>
      <x:c r="K54" s="58" t="n">
        <x:f>IF(OR(I54="",J54="",I54&lt;=0),"",J54/I54*100)</x:f>
        <x:v>93.5</x:v>
      </x:c>
      <x:c r="L54" s="57" t="n">
        <x:v>2.92</x:v>
      </x:c>
      <x:c r="M54" s="45" t="str">
        <x:v>kg</x:v>
      </x:c>
      <x:c r="N54" s="57"/>
      <x:c r="O54" s="45" t="str">
        <x:v>模拟半芯组合样</x:v>
      </x:c>
      <x:c r="P54" s="45" t="str">
        <x:v>未命名原列不适用（模拟）</x:v>
      </x:c>
    </x:row>
    <x:row r="55">
      <x:c r="A55" s="49" t="n">
        <x:f>IF(B55="","",ROW()-5)</x:f>
        <x:v>50</x:v>
      </x:c>
      <x:c r="B55" s="54" t="str">
        <x:v>SIM-S050</x:v>
      </x:c>
      <x:c r="C55" s="54" t="str">
        <x:v>R042</x:v>
      </x:c>
      <x:c r="D55" s="57" t="n">
        <x:v>2.8</x:v>
      </x:c>
      <x:c r="E55" s="54" t="str">
        <x:v>R043</x:v>
      </x:c>
      <x:c r="F55" s="57" t="n">
        <x:v>1.8</x:v>
      </x:c>
      <x:c r="G55" s="57" t="n">
        <x:v>125.8</x:v>
      </x:c>
      <x:c r="H55" s="57" t="n">
        <x:v>127.8</x:v>
      </x:c>
      <x:c r="I55" s="57" t="n">
        <x:v>2</x:v>
      </x:c>
      <x:c r="J55" s="57" t="n">
        <x:v>1.93</x:v>
      </x:c>
      <x:c r="K55" s="58" t="n">
        <x:f>IF(OR(I55="",J55="",I55&lt;=0),"",J55/I55*100)</x:f>
        <x:v>96.5</x:v>
      </x:c>
      <x:c r="L55" s="57" t="n">
        <x:v>2.66</x:v>
      </x:c>
      <x:c r="M55" s="45" t="str">
        <x:v>kg</x:v>
      </x:c>
      <x:c r="N55" s="57"/>
      <x:c r="O55" s="45" t="str">
        <x:v>模拟半芯组合样</x:v>
      </x:c>
      <x:c r="P55" s="45" t="str">
        <x:v>未命名原列不适用（模拟）</x:v>
      </x:c>
    </x:row>
    <x:row r="56">
      <x:c r="A56" s="49" t="n">
        <x:f>IF(B56="","",ROW()-5)</x:f>
        <x:v>51</x:v>
      </x:c>
      <x:c r="B56" s="54" t="str">
        <x:v>SIM-S051</x:v>
      </x:c>
      <x:c r="C56" s="54" t="str">
        <x:v>R043</x:v>
      </x:c>
      <x:c r="D56" s="57" t="n">
        <x:v>2</x:v>
      </x:c>
      <x:c r="E56" s="54" t="str">
        <x:v>R044</x:v>
      </x:c>
      <x:c r="F56" s="57" t="n">
        <x:v>1</x:v>
      </x:c>
      <x:c r="G56" s="57" t="n">
        <x:v>128</x:v>
      </x:c>
      <x:c r="H56" s="57" t="n">
        <x:v>130</x:v>
      </x:c>
      <x:c r="I56" s="57" t="n">
        <x:v>2</x:v>
      </x:c>
      <x:c r="J56" s="57" t="n">
        <x:v>1.93</x:v>
      </x:c>
      <x:c r="K56" s="58" t="n">
        <x:f>IF(OR(I56="",J56="",I56&lt;=0),"",J56/I56*100)</x:f>
        <x:v>96.5</x:v>
      </x:c>
      <x:c r="L56" s="57" t="n">
        <x:v>2.36</x:v>
      </x:c>
      <x:c r="M56" s="45" t="str">
        <x:v>kg</x:v>
      </x:c>
      <x:c r="N56" s="57"/>
      <x:c r="O56" s="45" t="str">
        <x:v>模拟半芯组合样</x:v>
      </x:c>
      <x:c r="P56" s="45" t="str">
        <x:v>未命名原列不适用（模拟）</x:v>
      </x:c>
    </x:row>
    <x:row r="57">
      <x:c r="A57" s="49" t="n">
        <x:f>IF(B57="","",ROW()-5)</x:f>
        <x:v>52</x:v>
      </x:c>
      <x:c r="B57" s="54" t="str">
        <x:v>SIM-S052</x:v>
      </x:c>
      <x:c r="C57" s="54" t="str">
        <x:v>R044</x:v>
      </x:c>
      <x:c r="D57" s="57" t="n">
        <x:v>1.2</x:v>
      </x:c>
      <x:c r="E57" s="54" t="str">
        <x:v>R045</x:v>
      </x:c>
      <x:c r="F57" s="57" t="n">
        <x:v>0.2</x:v>
      </x:c>
      <x:c r="G57" s="57" t="n">
        <x:v>130.2</x:v>
      </x:c>
      <x:c r="H57" s="57" t="n">
        <x:v>132.2</x:v>
      </x:c>
      <x:c r="I57" s="57" t="n">
        <x:v>2</x:v>
      </x:c>
      <x:c r="J57" s="57" t="n">
        <x:v>1.92</x:v>
      </x:c>
      <x:c r="K57" s="58" t="n">
        <x:f>IF(OR(I57="",J57="",I57&lt;=0),"",J57/I57*100)</x:f>
        <x:v>96</x:v>
      </x:c>
      <x:c r="L57" s="57" t="n">
        <x:v>2.14</x:v>
      </x:c>
      <x:c r="M57" s="45" t="str">
        <x:v>kg</x:v>
      </x:c>
      <x:c r="N57" s="57"/>
      <x:c r="O57" s="45" t="str">
        <x:v>模拟半芯组合样</x:v>
      </x:c>
      <x:c r="P57" s="45" t="str">
        <x:v>未命名原列不适用（模拟）</x:v>
      </x:c>
    </x:row>
    <x:row r="58">
      <x:c r="A58" s="49" t="n">
        <x:f>IF(B58="","",ROW()-5)</x:f>
        <x:v>53</x:v>
      </x:c>
      <x:c r="B58" s="54" t="str">
        <x:v>SIM-S053</x:v>
      </x:c>
      <x:c r="C58" s="54" t="str">
        <x:v>R045</x:v>
      </x:c>
      <x:c r="D58" s="57" t="n">
        <x:v>0.4</x:v>
      </x:c>
      <x:c r="E58" s="54" t="str">
        <x:v>R045</x:v>
      </x:c>
      <x:c r="F58" s="57" t="n">
        <x:v>2.4</x:v>
      </x:c>
      <x:c r="G58" s="57" t="n">
        <x:v>132.4</x:v>
      </x:c>
      <x:c r="H58" s="57" t="n">
        <x:v>134.4</x:v>
      </x:c>
      <x:c r="I58" s="57" t="n">
        <x:v>2</x:v>
      </x:c>
      <x:c r="J58" s="57" t="n">
        <x:v>1.85</x:v>
      </x:c>
      <x:c r="K58" s="58" t="n">
        <x:f>IF(OR(I58="",J58="",I58&lt;=0),"",J58/I58*100)</x:f>
        <x:v>92.5</x:v>
      </x:c>
      <x:c r="L58" s="57" t="n">
        <x:v>2.12</x:v>
      </x:c>
      <x:c r="M58" s="45" t="str">
        <x:v>kg</x:v>
      </x:c>
      <x:c r="N58" s="57"/>
      <x:c r="O58" s="45" t="str">
        <x:v>模拟半芯组合样</x:v>
      </x:c>
      <x:c r="P58" s="45" t="str">
        <x:v>未命名原列不适用（模拟）</x:v>
      </x:c>
    </x:row>
    <x:row r="59">
      <x:c r="A59" s="49" t="n">
        <x:f>IF(B59="","",ROW()-5)</x:f>
        <x:v>54</x:v>
      </x:c>
      <x:c r="B59" s="54" t="str">
        <x:v>SIM-S054</x:v>
      </x:c>
      <x:c r="C59" s="54" t="str">
        <x:v>R045</x:v>
      </x:c>
      <x:c r="D59" s="57" t="n">
        <x:v>2.6</x:v>
      </x:c>
      <x:c r="E59" s="54" t="str">
        <x:v>R046</x:v>
      </x:c>
      <x:c r="F59" s="57" t="n">
        <x:v>1.6</x:v>
      </x:c>
      <x:c r="G59" s="57" t="n">
        <x:v>134.6</x:v>
      </x:c>
      <x:c r="H59" s="57" t="n">
        <x:v>136.6</x:v>
      </x:c>
      <x:c r="I59" s="57" t="n">
        <x:v>2</x:v>
      </x:c>
      <x:c r="J59" s="57" t="n">
        <x:v>1.76</x:v>
      </x:c>
      <x:c r="K59" s="58" t="n">
        <x:f>IF(OR(I59="",J59="",I59&lt;=0),"",J59/I59*100)</x:f>
        <x:v>88</x:v>
      </x:c>
      <x:c r="L59" s="57" t="n">
        <x:v>2.3</x:v>
      </x:c>
      <x:c r="M59" s="45" t="str">
        <x:v>kg</x:v>
      </x:c>
      <x:c r="N59" s="57"/>
      <x:c r="O59" s="45" t="str">
        <x:v>模拟半芯组合样</x:v>
      </x:c>
      <x:c r="P59" s="45" t="str">
        <x:v>未命名原列不适用（模拟）</x:v>
      </x:c>
    </x:row>
    <x:row r="60">
      <x:c r="A60" s="49" t="n">
        <x:f>IF(B60="","",ROW()-5)</x:f>
        <x:v>55</x:v>
      </x:c>
      <x:c r="B60" s="54" t="str">
        <x:v>SIM-S055</x:v>
      </x:c>
      <x:c r="C60" s="54" t="str">
        <x:v>R046</x:v>
      </x:c>
      <x:c r="D60" s="57" t="n">
        <x:v>1.8</x:v>
      </x:c>
      <x:c r="E60" s="54" t="str">
        <x:v>R047</x:v>
      </x:c>
      <x:c r="F60" s="57" t="n">
        <x:v>0.8</x:v>
      </x:c>
      <x:c r="G60" s="57" t="n">
        <x:v>136.8</x:v>
      </x:c>
      <x:c r="H60" s="57" t="n">
        <x:v>138.8</x:v>
      </x:c>
      <x:c r="I60" s="57" t="n">
        <x:v>2</x:v>
      </x:c>
      <x:c r="J60" s="57" t="n">
        <x:v>1.69</x:v>
      </x:c>
      <x:c r="K60" s="58" t="n">
        <x:f>IF(OR(I60="",J60="",I60&lt;=0),"",J60/I60*100)</x:f>
        <x:v>84.5</x:v>
      </x:c>
      <x:c r="L60" s="57" t="n">
        <x:v>2.6</x:v>
      </x:c>
      <x:c r="M60" s="45" t="str">
        <x:v>kg</x:v>
      </x:c>
      <x:c r="N60" s="57"/>
      <x:c r="O60" s="45" t="str">
        <x:v>模拟半芯组合样</x:v>
      </x:c>
      <x:c r="P60" s="45" t="str">
        <x:v>未命名原列不适用（模拟）</x:v>
      </x:c>
    </x:row>
    <x:row r="61">
      <x:c r="A61" s="49" t="n">
        <x:f>IF(B61="","",ROW()-5)</x:f>
        <x:v>56</x:v>
      </x:c>
      <x:c r="B61" s="54" t="str">
        <x:v>SIM-S056</x:v>
      </x:c>
      <x:c r="C61" s="54" t="str">
        <x:v>R047</x:v>
      </x:c>
      <x:c r="D61" s="57" t="n">
        <x:v>1</x:v>
      </x:c>
      <x:c r="E61" s="54" t="str">
        <x:v>R047</x:v>
      </x:c>
      <x:c r="F61" s="57" t="n">
        <x:v>3</x:v>
      </x:c>
      <x:c r="G61" s="57" t="n">
        <x:v>139</x:v>
      </x:c>
      <x:c r="H61" s="57" t="n">
        <x:v>141</x:v>
      </x:c>
      <x:c r="I61" s="57" t="n">
        <x:v>2</x:v>
      </x:c>
      <x:c r="J61" s="57" t="n">
        <x:v>1.63</x:v>
      </x:c>
      <x:c r="K61" s="58" t="n">
        <x:f>IF(OR(I61="",J61="",I61&lt;=0),"",J61/I61*100)</x:f>
        <x:v>81.5</x:v>
      </x:c>
      <x:c r="L61" s="57" t="n">
        <x:v>2.87</x:v>
      </x:c>
      <x:c r="M61" s="45" t="str">
        <x:v>kg</x:v>
      </x:c>
      <x:c r="N61" s="57"/>
      <x:c r="O61" s="45" t="str">
        <x:v>模拟半芯组合样</x:v>
      </x:c>
      <x:c r="P61" s="45" t="str">
        <x:v>未命名原列不适用（模拟）</x:v>
      </x:c>
    </x:row>
    <x:row r="62">
      <x:c r="A62" s="49" t="n">
        <x:f>IF(B62="","",ROW()-5)</x:f>
        <x:v>57</x:v>
      </x:c>
      <x:c r="B62" s="54" t="str">
        <x:v>SIM-S057</x:v>
      </x:c>
      <x:c r="C62" s="54" t="str">
        <x:v>R048</x:v>
      </x:c>
      <x:c r="D62" s="57" t="n">
        <x:v>0.2</x:v>
      </x:c>
      <x:c r="E62" s="54" t="str">
        <x:v>R048</x:v>
      </x:c>
      <x:c r="F62" s="57" t="n">
        <x:v>2.2</x:v>
      </x:c>
      <x:c r="G62" s="57" t="n">
        <x:v>141.2</x:v>
      </x:c>
      <x:c r="H62" s="57" t="n">
        <x:v>143.2</x:v>
      </x:c>
      <x:c r="I62" s="57" t="n">
        <x:v>2</x:v>
      </x:c>
      <x:c r="J62" s="57" t="n">
        <x:v>1.57</x:v>
      </x:c>
      <x:c r="K62" s="58" t="n">
        <x:f>IF(OR(I62="",J62="",I62&lt;=0),"",J62/I62*100)</x:f>
        <x:v>78.5</x:v>
      </x:c>
      <x:c r="L62" s="57" t="n">
        <x:v>3</x:v>
      </x:c>
      <x:c r="M62" s="45" t="str">
        <x:v>kg</x:v>
      </x:c>
      <x:c r="N62" s="57"/>
      <x:c r="O62" s="45" t="str">
        <x:v>模拟半芯组合样</x:v>
      </x:c>
      <x:c r="P62" s="45" t="str">
        <x:v>未命名原列不适用（模拟）</x:v>
      </x:c>
    </x:row>
    <x:row r="63">
      <x:c r="A63" s="49" t="n">
        <x:f>IF(B63="","",ROW()-5)</x:f>
        <x:v>58</x:v>
      </x:c>
      <x:c r="B63" s="54" t="str">
        <x:v>SIM-S058</x:v>
      </x:c>
      <x:c r="C63" s="54" t="str">
        <x:v>R048</x:v>
      </x:c>
      <x:c r="D63" s="57" t="n">
        <x:v>2.4</x:v>
      </x:c>
      <x:c r="E63" s="54" t="str">
        <x:v>R049</x:v>
      </x:c>
      <x:c r="F63" s="57" t="n">
        <x:v>1.4</x:v>
      </x:c>
      <x:c r="G63" s="57" t="n">
        <x:v>143.4</x:v>
      </x:c>
      <x:c r="H63" s="57" t="n">
        <x:v>145.4</x:v>
      </x:c>
      <x:c r="I63" s="57" t="n">
        <x:v>2</x:v>
      </x:c>
      <x:c r="J63" s="57" t="n">
        <x:v>1.57</x:v>
      </x:c>
      <x:c r="K63" s="58" t="n">
        <x:f>IF(OR(I63="",J63="",I63&lt;=0),"",J63/I63*100)</x:f>
        <x:v>78.5</x:v>
      </x:c>
      <x:c r="L63" s="57" t="n">
        <x:v>2.91</x:v>
      </x:c>
      <x:c r="M63" s="45" t="str">
        <x:v>kg</x:v>
      </x:c>
      <x:c r="N63" s="57"/>
      <x:c r="O63" s="45" t="str">
        <x:v>模拟半芯组合样</x:v>
      </x:c>
      <x:c r="P63" s="45" t="str">
        <x:v>未命名原列不适用（模拟）</x:v>
      </x:c>
    </x:row>
    <x:row r="64">
      <x:c r="A64" s="49" t="n">
        <x:f>IF(B64="","",ROW()-5)</x:f>
        <x:v>59</x:v>
      </x:c>
      <x:c r="B64" s="54" t="str">
        <x:v>SIM-S059</x:v>
      </x:c>
      <x:c r="C64" s="54" t="str">
        <x:v>R049</x:v>
      </x:c>
      <x:c r="D64" s="57" t="n">
        <x:v>1.6</x:v>
      </x:c>
      <x:c r="E64" s="54" t="str">
        <x:v>R050</x:v>
      </x:c>
      <x:c r="F64" s="57" t="n">
        <x:v>0.6</x:v>
      </x:c>
      <x:c r="G64" s="57" t="n">
        <x:v>145.6</x:v>
      </x:c>
      <x:c r="H64" s="57" t="n">
        <x:v>147.6</x:v>
      </x:c>
      <x:c r="I64" s="57" t="n">
        <x:v>2</x:v>
      </x:c>
      <x:c r="J64" s="57" t="n">
        <x:v>1.6</x:v>
      </x:c>
      <x:c r="K64" s="58" t="n">
        <x:f>IF(OR(I64="",J64="",I64&lt;=0),"",J64/I64*100)</x:f>
        <x:v>80</x:v>
      </x:c>
      <x:c r="L64" s="57" t="n">
        <x:v>2.66</x:v>
      </x:c>
      <x:c r="M64" s="45" t="str">
        <x:v>kg</x:v>
      </x:c>
      <x:c r="N64" s="57"/>
      <x:c r="O64" s="45" t="str">
        <x:v>模拟半芯组合样</x:v>
      </x:c>
      <x:c r="P64" s="45" t="str">
        <x:v>未命名原列不适用（模拟）</x:v>
      </x:c>
    </x:row>
    <x:row r="65">
      <x:c r="A65" s="49" t="n">
        <x:f>IF(B65="","",ROW()-5)</x:f>
        <x:v>60</x:v>
      </x:c>
      <x:c r="B65" s="54" t="str">
        <x:v>SIM-S060</x:v>
      </x:c>
      <x:c r="C65" s="54" t="str">
        <x:v>R050</x:v>
      </x:c>
      <x:c r="D65" s="57" t="n">
        <x:v>0.8</x:v>
      </x:c>
      <x:c r="E65" s="54" t="str">
        <x:v>R050</x:v>
      </x:c>
      <x:c r="F65" s="57" t="n">
        <x:v>2.8</x:v>
      </x:c>
      <x:c r="G65" s="57" t="n">
        <x:v>147.8</x:v>
      </x:c>
      <x:c r="H65" s="57" t="n">
        <x:v>149.8</x:v>
      </x:c>
      <x:c r="I65" s="57" t="n">
        <x:v>2</x:v>
      </x:c>
      <x:c r="J65" s="57" t="n">
        <x:v>1.65</x:v>
      </x:c>
      <x:c r="K65" s="58" t="n">
        <x:f>IF(OR(I65="",J65="",I65&lt;=0),"",J65/I65*100)</x:f>
        <x:v>82.5</x:v>
      </x:c>
      <x:c r="L65" s="57" t="n">
        <x:v>2.35</x:v>
      </x:c>
      <x:c r="M65" s="45" t="str">
        <x:v>kg</x:v>
      </x:c>
      <x:c r="N65" s="57"/>
      <x:c r="O65" s="45" t="str">
        <x:v>模拟半芯组合样</x:v>
      </x:c>
      <x:c r="P65" s="45" t="str">
        <x:v>未命名原列不适用（模拟）</x:v>
      </x:c>
    </x:row>
    <x:row r="66">
      <x:c r="A66" s="49" t="n">
        <x:f>IF(B66="","",ROW()-5)</x:f>
        <x:v>61</x:v>
      </x:c>
      <x:c r="B66" s="54" t="str">
        <x:v>SIM-S061</x:v>
      </x:c>
      <x:c r="C66" s="54" t="str">
        <x:v>R051</x:v>
      </x:c>
      <x:c r="D66" s="57" t="n">
        <x:v>0</x:v>
      </x:c>
      <x:c r="E66" s="54" t="str">
        <x:v>R051</x:v>
      </x:c>
      <x:c r="F66" s="57" t="n">
        <x:v>2</x:v>
      </x:c>
      <x:c r="G66" s="57" t="n">
        <x:v>150</x:v>
      </x:c>
      <x:c r="H66" s="57" t="n">
        <x:v>152</x:v>
      </x:c>
      <x:c r="I66" s="57" t="n">
        <x:v>2</x:v>
      </x:c>
      <x:c r="J66" s="57" t="n">
        <x:v>1.77</x:v>
      </x:c>
      <x:c r="K66" s="58" t="n">
        <x:f>IF(OR(I66="",J66="",I66&lt;=0),"",J66/I66*100)</x:f>
        <x:v>88.5</x:v>
      </x:c>
      <x:c r="L66" s="57" t="n">
        <x:v>2.14</x:v>
      </x:c>
      <x:c r="M66" s="45" t="str">
        <x:v>kg</x:v>
      </x:c>
      <x:c r="N66" s="57"/>
      <x:c r="O66" s="45" t="str">
        <x:v>模拟半芯组合样</x:v>
      </x:c>
      <x:c r="P66" s="45" t="str">
        <x:v>未命名原列不适用（模拟）</x:v>
      </x:c>
    </x:row>
    <x:row r="67">
      <x:c r="A67" s="49" t="n">
        <x:f>IF(B67="","",ROW()-5)</x:f>
        <x:v>62</x:v>
      </x:c>
      <x:c r="B67" s="54" t="str">
        <x:v>SIM-S062</x:v>
      </x:c>
      <x:c r="C67" s="54" t="str">
        <x:v>R051</x:v>
      </x:c>
      <x:c r="D67" s="57" t="n">
        <x:v>2.2</x:v>
      </x:c>
      <x:c r="E67" s="54" t="str">
        <x:v>R052</x:v>
      </x:c>
      <x:c r="F67" s="57" t="n">
        <x:v>1.2</x:v>
      </x:c>
      <x:c r="G67" s="57" t="n">
        <x:v>152.2</x:v>
      </x:c>
      <x:c r="H67" s="57" t="n">
        <x:v>154.2</x:v>
      </x:c>
      <x:c r="I67" s="57" t="n">
        <x:v>2</x:v>
      </x:c>
      <x:c r="J67" s="57" t="n">
        <x:v>1.83</x:v>
      </x:c>
      <x:c r="K67" s="58" t="n">
        <x:f>IF(OR(I67="",J67="",I67&lt;=0),"",J67/I67*100)</x:f>
        <x:v>91.5</x:v>
      </x:c>
      <x:c r="L67" s="57" t="n">
        <x:v>2.12</x:v>
      </x:c>
      <x:c r="M67" s="45" t="str">
        <x:v>kg</x:v>
      </x:c>
      <x:c r="N67" s="57"/>
      <x:c r="O67" s="45" t="str">
        <x:v>模拟半芯组合样</x:v>
      </x:c>
      <x:c r="P67" s="45" t="str">
        <x:v>未命名原列不适用（模拟）</x:v>
      </x:c>
    </x:row>
    <x:row r="68">
      <x:c r="A68" s="49" t="n">
        <x:f>IF(B68="","",ROW()-5)</x:f>
        <x:v>63</x:v>
      </x:c>
      <x:c r="B68" s="54" t="str">
        <x:v>SIM-S063</x:v>
      </x:c>
      <x:c r="C68" s="54" t="str">
        <x:v>R052</x:v>
      </x:c>
      <x:c r="D68" s="57" t="n">
        <x:v>1.4</x:v>
      </x:c>
      <x:c r="E68" s="54" t="str">
        <x:v>R053</x:v>
      </x:c>
      <x:c r="F68" s="57" t="n">
        <x:v>0.4</x:v>
      </x:c>
      <x:c r="G68" s="57" t="n">
        <x:v>154.4</x:v>
      </x:c>
      <x:c r="H68" s="57" t="n">
        <x:v>156.4</x:v>
      </x:c>
      <x:c r="I68" s="57" t="n">
        <x:v>2</x:v>
      </x:c>
      <x:c r="J68" s="57" t="n">
        <x:v>1.89</x:v>
      </x:c>
      <x:c r="K68" s="58" t="n">
        <x:f>IF(OR(I68="",J68="",I68&lt;=0),"",J68/I68*100)</x:f>
        <x:v>94.5</x:v>
      </x:c>
      <x:c r="L68" s="57" t="n">
        <x:v>2.3</x:v>
      </x:c>
      <x:c r="M68" s="45" t="str">
        <x:v>kg</x:v>
      </x:c>
      <x:c r="N68" s="57"/>
      <x:c r="O68" s="45" t="str">
        <x:v>模拟半芯组合样</x:v>
      </x:c>
      <x:c r="P68" s="45" t="str">
        <x:v>未命名原列不适用（模拟）</x:v>
      </x:c>
    </x:row>
    <x:row r="69">
      <x:c r="A69" s="49" t="n">
        <x:f>IF(B69="","",ROW()-5)</x:f>
        <x:v>64</x:v>
      </x:c>
      <x:c r="B69" s="54" t="str">
        <x:v>SIM-S064</x:v>
      </x:c>
      <x:c r="C69" s="54" t="str">
        <x:v>R053</x:v>
      </x:c>
      <x:c r="D69" s="57" t="n">
        <x:v>0.6</x:v>
      </x:c>
      <x:c r="E69" s="54" t="str">
        <x:v>R053</x:v>
      </x:c>
      <x:c r="F69" s="57" t="n">
        <x:v>2.6</x:v>
      </x:c>
      <x:c r="G69" s="57" t="n">
        <x:v>156.6</x:v>
      </x:c>
      <x:c r="H69" s="57" t="n">
        <x:v>158.6</x:v>
      </x:c>
      <x:c r="I69" s="57" t="n">
        <x:v>2</x:v>
      </x:c>
      <x:c r="J69" s="57" t="n">
        <x:v>1.93</x:v>
      </x:c>
      <x:c r="K69" s="58" t="n">
        <x:f>IF(OR(I69="",J69="",I69&lt;=0),"",J69/I69*100)</x:f>
        <x:v>96.5</x:v>
      </x:c>
      <x:c r="L69" s="57" t="n">
        <x:v>2.6</x:v>
      </x:c>
      <x:c r="M69" s="45" t="str">
        <x:v>kg</x:v>
      </x:c>
      <x:c r="N69" s="57"/>
      <x:c r="O69" s="45" t="str">
        <x:v>模拟半芯组合样</x:v>
      </x:c>
      <x:c r="P69" s="45" t="str">
        <x:v>未命名原列不适用（模拟）</x:v>
      </x:c>
    </x:row>
    <x:row r="70">
      <x:c r="A70" s="49" t="n">
        <x:f>IF(B70="","",ROW()-5)</x:f>
        <x:v>65</x:v>
      </x:c>
      <x:c r="B70" s="54" t="str">
        <x:v>SIM-S065</x:v>
      </x:c>
      <x:c r="C70" s="54" t="str">
        <x:v>R053</x:v>
      </x:c>
      <x:c r="D70" s="57" t="n">
        <x:v>2.8</x:v>
      </x:c>
      <x:c r="E70" s="54" t="str">
        <x:v>R054</x:v>
      </x:c>
      <x:c r="F70" s="57" t="n">
        <x:v>1.8</x:v>
      </x:c>
      <x:c r="G70" s="57" t="n">
        <x:v>158.8</x:v>
      </x:c>
      <x:c r="H70" s="57" t="n">
        <x:v>160.8</x:v>
      </x:c>
      <x:c r="I70" s="57" t="n">
        <x:v>2</x:v>
      </x:c>
      <x:c r="J70" s="57" t="n">
        <x:v>1.93</x:v>
      </x:c>
      <x:c r="K70" s="58" t="n">
        <x:f>IF(OR(I70="",J70="",I70&lt;=0),"",J70/I70*100)</x:f>
        <x:v>96.5</x:v>
      </x:c>
      <x:c r="L70" s="57" t="n">
        <x:v>2.88</x:v>
      </x:c>
      <x:c r="M70" s="45" t="str">
        <x:v>kg</x:v>
      </x:c>
      <x:c r="N70" s="57"/>
      <x:c r="O70" s="45" t="str">
        <x:v>模拟半芯组合样</x:v>
      </x:c>
      <x:c r="P70" s="45" t="str">
        <x:v>未命名原列不适用（模拟）</x:v>
      </x:c>
    </x:row>
    <x:row r="71">
      <x:c r="A71" s="49" t="n">
        <x:f>IF(B71="","",ROW()-5)</x:f>
        <x:v>66</x:v>
      </x:c>
      <x:c r="B71" s="54" t="str">
        <x:v>SIM-S066</x:v>
      </x:c>
      <x:c r="C71" s="54" t="str">
        <x:v>R054</x:v>
      </x:c>
      <x:c r="D71" s="57" t="n">
        <x:v>2</x:v>
      </x:c>
      <x:c r="E71" s="54" t="str">
        <x:v>R055</x:v>
      </x:c>
      <x:c r="F71" s="57" t="n">
        <x:v>1</x:v>
      </x:c>
      <x:c r="G71" s="57" t="n">
        <x:v>161</x:v>
      </x:c>
      <x:c r="H71" s="57" t="n">
        <x:v>163</x:v>
      </x:c>
      <x:c r="I71" s="57" t="n">
        <x:v>2</x:v>
      </x:c>
      <x:c r="J71" s="57" t="n">
        <x:v>1.89</x:v>
      </x:c>
      <x:c r="K71" s="58" t="n">
        <x:f>IF(OR(I71="",J71="",I71&lt;=0),"",J71/I71*100)</x:f>
        <x:v>94.5</x:v>
      </x:c>
      <x:c r="L71" s="57" t="n">
        <x:v>3</x:v>
      </x:c>
      <x:c r="M71" s="45" t="str">
        <x:v>kg</x:v>
      </x:c>
      <x:c r="N71" s="57"/>
      <x:c r="O71" s="45" t="str">
        <x:v>模拟半芯组合样</x:v>
      </x:c>
      <x:c r="P71" s="45" t="str">
        <x:v>未命名原列不适用（模拟）</x:v>
      </x:c>
    </x:row>
    <x:row r="72">
      <x:c r="A72" s="49" t="n">
        <x:f>IF(B72="","",ROW()-5)</x:f>
        <x:v>67</x:v>
      </x:c>
      <x:c r="B72" s="54" t="str">
        <x:v>SIM-S067</x:v>
      </x:c>
      <x:c r="C72" s="54" t="str">
        <x:v>R055</x:v>
      </x:c>
      <x:c r="D72" s="57" t="n">
        <x:v>1.2</x:v>
      </x:c>
      <x:c r="E72" s="54" t="str">
        <x:v>R056</x:v>
      </x:c>
      <x:c r="F72" s="57" t="n">
        <x:v>0.2</x:v>
      </x:c>
      <x:c r="G72" s="57" t="n">
        <x:v>163.2</x:v>
      </x:c>
      <x:c r="H72" s="57" t="n">
        <x:v>165.2</x:v>
      </x:c>
      <x:c r="I72" s="57" t="n">
        <x:v>2</x:v>
      </x:c>
      <x:c r="J72" s="57" t="n">
        <x:v>1.84</x:v>
      </x:c>
      <x:c r="K72" s="58" t="n">
        <x:f>IF(OR(I72="",J72="",I72&lt;=0),"",J72/I72*100)</x:f>
        <x:v>92</x:v>
      </x:c>
      <x:c r="L72" s="57" t="n">
        <x:v>2.91</x:v>
      </x:c>
      <x:c r="M72" s="45" t="str">
        <x:v>kg</x:v>
      </x:c>
      <x:c r="N72" s="57"/>
      <x:c r="O72" s="45" t="str">
        <x:v>模拟半芯组合样</x:v>
      </x:c>
      <x:c r="P72" s="45" t="str">
        <x:v>未命名原列不适用（模拟）</x:v>
      </x:c>
    </x:row>
    <x:row r="73">
      <x:c r="A73" s="49" t="n">
        <x:f>IF(B73="","",ROW()-5)</x:f>
        <x:v>68</x:v>
      </x:c>
      <x:c r="B73" s="54" t="str">
        <x:v>SIM-S068</x:v>
      </x:c>
      <x:c r="C73" s="54" t="str">
        <x:v>R056</x:v>
      </x:c>
      <x:c r="D73" s="57" t="n">
        <x:v>0.4</x:v>
      </x:c>
      <x:c r="E73" s="54" t="str">
        <x:v>R056</x:v>
      </x:c>
      <x:c r="F73" s="57" t="n">
        <x:v>2.4</x:v>
      </x:c>
      <x:c r="G73" s="57" t="n">
        <x:v>165.4</x:v>
      </x:c>
      <x:c r="H73" s="57" t="n">
        <x:v>167.4</x:v>
      </x:c>
      <x:c r="I73" s="57" t="n">
        <x:v>2</x:v>
      </x:c>
      <x:c r="J73" s="57" t="n">
        <x:v>1.73</x:v>
      </x:c>
      <x:c r="K73" s="58" t="n">
        <x:f>IF(OR(I73="",J73="",I73&lt;=0),"",J73/I73*100)</x:f>
        <x:v>86.5</x:v>
      </x:c>
      <x:c r="L73" s="57" t="n">
        <x:v>2.65</x:v>
      </x:c>
      <x:c r="M73" s="45" t="str">
        <x:v>kg</x:v>
      </x:c>
      <x:c r="N73" s="57"/>
      <x:c r="O73" s="45" t="str">
        <x:v>模拟半芯组合样</x:v>
      </x:c>
      <x:c r="P73" s="45" t="str">
        <x:v>未命名原列不适用（模拟）</x:v>
      </x:c>
    </x:row>
    <x:row r="74">
      <x:c r="A74" s="49" t="n">
        <x:f>IF(B74="","",ROW()-5)</x:f>
        <x:v>69</x:v>
      </x:c>
      <x:c r="B74" s="54" t="str">
        <x:v>SIM-S069</x:v>
      </x:c>
      <x:c r="C74" s="54" t="str">
        <x:v>R056</x:v>
      </x:c>
      <x:c r="D74" s="57" t="n">
        <x:v>2.6</x:v>
      </x:c>
      <x:c r="E74" s="54" t="str">
        <x:v>R057</x:v>
      </x:c>
      <x:c r="F74" s="57" t="n">
        <x:v>1.6</x:v>
      </x:c>
      <x:c r="G74" s="57" t="n">
        <x:v>167.6</x:v>
      </x:c>
      <x:c r="H74" s="57" t="n">
        <x:v>169.6</x:v>
      </x:c>
      <x:c r="I74" s="57" t="n">
        <x:v>2</x:v>
      </x:c>
      <x:c r="J74" s="57" t="n">
        <x:v>1.65</x:v>
      </x:c>
      <x:c r="K74" s="58" t="n">
        <x:f>IF(OR(I74="",J74="",I74&lt;=0),"",J74/I74*100)</x:f>
        <x:v>82.5</x:v>
      </x:c>
      <x:c r="L74" s="57" t="n">
        <x:v>2.34</x:v>
      </x:c>
      <x:c r="M74" s="45" t="str">
        <x:v>kg</x:v>
      </x:c>
      <x:c r="N74" s="57"/>
      <x:c r="O74" s="45" t="str">
        <x:v>模拟半芯组合样</x:v>
      </x:c>
      <x:c r="P74" s="45" t="str">
        <x:v>未命名原列不适用（模拟）</x:v>
      </x:c>
    </x:row>
    <x:row r="75">
      <x:c r="A75" s="49" t="n">
        <x:f>IF(B75="","",ROW()-5)</x:f>
        <x:v>70</x:v>
      </x:c>
      <x:c r="B75" s="54" t="str">
        <x:v>SIM-S070</x:v>
      </x:c>
      <x:c r="C75" s="54" t="str">
        <x:v>R057</x:v>
      </x:c>
      <x:c r="D75" s="57" t="n">
        <x:v>1.8</x:v>
      </x:c>
      <x:c r="E75" s="54" t="str">
        <x:v>R058</x:v>
      </x:c>
      <x:c r="F75" s="57" t="n">
        <x:v>0.8</x:v>
      </x:c>
      <x:c r="G75" s="57" t="n">
        <x:v>169.8</x:v>
      </x:c>
      <x:c r="H75" s="57" t="n">
        <x:v>171.8</x:v>
      </x:c>
      <x:c r="I75" s="57" t="n">
        <x:v>2</x:v>
      </x:c>
      <x:c r="J75" s="57" t="n">
        <x:v>1.6</x:v>
      </x:c>
      <x:c r="K75" s="58" t="n">
        <x:f>IF(OR(I75="",J75="",I75&lt;=0),"",J75/I75*100)</x:f>
        <x:v>80</x:v>
      </x:c>
      <x:c r="L75" s="57" t="n">
        <x:v>2.13</x:v>
      </x:c>
      <x:c r="M75" s="45" t="str">
        <x:v>kg</x:v>
      </x:c>
      <x:c r="N75" s="57"/>
      <x:c r="O75" s="45" t="str">
        <x:v>模拟半芯组合样</x:v>
      </x:c>
      <x:c r="P75" s="45" t="str">
        <x:v>未命名原列不适用（模拟）</x:v>
      </x:c>
    </x:row>
    <x:row r="76">
      <x:c r="A76" s="49" t="n">
        <x:f>IF(B76="","",ROW()-5)</x:f>
        <x:v>71</x:v>
      </x:c>
      <x:c r="B76" s="54" t="str">
        <x:v>SIM-S071</x:v>
      </x:c>
      <x:c r="C76" s="54" t="str">
        <x:v>R058</x:v>
      </x:c>
      <x:c r="D76" s="57" t="n">
        <x:v>1</x:v>
      </x:c>
      <x:c r="E76" s="54" t="str">
        <x:v>R058</x:v>
      </x:c>
      <x:c r="F76" s="57" t="n">
        <x:v>3</x:v>
      </x:c>
      <x:c r="G76" s="57" t="n">
        <x:v>172</x:v>
      </x:c>
      <x:c r="H76" s="57" t="n">
        <x:v>174</x:v>
      </x:c>
      <x:c r="I76" s="57" t="n">
        <x:v>2</x:v>
      </x:c>
      <x:c r="J76" s="57" t="n">
        <x:v>1.57</x:v>
      </x:c>
      <x:c r="K76" s="58" t="n">
        <x:f>IF(OR(I76="",J76="",I76&lt;=0),"",J76/I76*100)</x:f>
        <x:v>78.5</x:v>
      </x:c>
      <x:c r="L76" s="57" t="n">
        <x:v>2.12</x:v>
      </x:c>
      <x:c r="M76" s="45" t="str">
        <x:v>kg</x:v>
      </x:c>
      <x:c r="N76" s="57"/>
      <x:c r="O76" s="45" t="str">
        <x:v>模拟半芯组合样</x:v>
      </x:c>
      <x:c r="P76" s="45" t="str">
        <x:v>未命名原列不适用（模拟）</x:v>
      </x:c>
    </x:row>
    <x:row r="77">
      <x:c r="A77" s="49" t="n">
        <x:f>IF(B77="","",ROW()-5)</x:f>
        <x:v>72</x:v>
      </x:c>
      <x:c r="B77" s="54" t="str">
        <x:v>SIM-S072</x:v>
      </x:c>
      <x:c r="C77" s="54" t="str">
        <x:v>R059</x:v>
      </x:c>
      <x:c r="D77" s="57" t="n">
        <x:v>0.2</x:v>
      </x:c>
      <x:c r="E77" s="54" t="str">
        <x:v>R059</x:v>
      </x:c>
      <x:c r="F77" s="57" t="n">
        <x:v>2.2</x:v>
      </x:c>
      <x:c r="G77" s="57" t="n">
        <x:v>174.2</x:v>
      </x:c>
      <x:c r="H77" s="57" t="n">
        <x:v>176.2</x:v>
      </x:c>
      <x:c r="I77" s="57" t="n">
        <x:v>2</x:v>
      </x:c>
      <x:c r="J77" s="57" t="n">
        <x:v>1.57</x:v>
      </x:c>
      <x:c r="K77" s="58" t="n">
        <x:f>IF(OR(I77="",J77="",I77&lt;=0),"",J77/I77*100)</x:f>
        <x:v>78.5</x:v>
      </x:c>
      <x:c r="L77" s="57" t="n">
        <x:v>2.31</x:v>
      </x:c>
      <x:c r="M77" s="45" t="str">
        <x:v>kg</x:v>
      </x:c>
      <x:c r="N77" s="57"/>
      <x:c r="O77" s="45" t="str">
        <x:v>模拟半芯组合样</x:v>
      </x:c>
      <x:c r="P77" s="45" t="str">
        <x:v>未命名原列不适用（模拟）</x:v>
      </x:c>
    </x:row>
    <x:row r="78">
      <x:c r="A78" s="49" t="n">
        <x:f>IF(B78="","",ROW()-5)</x:f>
        <x:v>73</x:v>
      </x:c>
      <x:c r="B78" s="54" t="str">
        <x:v>SIM-S073</x:v>
      </x:c>
      <x:c r="C78" s="54" t="str">
        <x:v>R059</x:v>
      </x:c>
      <x:c r="D78" s="57" t="n">
        <x:v>2.4</x:v>
      </x:c>
      <x:c r="E78" s="54" t="str">
        <x:v>R060</x:v>
      </x:c>
      <x:c r="F78" s="57" t="n">
        <x:v>1.4</x:v>
      </x:c>
      <x:c r="G78" s="57" t="n">
        <x:v>176.4</x:v>
      </x:c>
      <x:c r="H78" s="57" t="n">
        <x:v>178.4</x:v>
      </x:c>
      <x:c r="I78" s="57" t="n">
        <x:v>2</x:v>
      </x:c>
      <x:c r="J78" s="57" t="n">
        <x:v>1.63</x:v>
      </x:c>
      <x:c r="K78" s="58" t="n">
        <x:f>IF(OR(I78="",J78="",I78&lt;=0),"",J78/I78*100)</x:f>
        <x:v>81.5</x:v>
      </x:c>
      <x:c r="L78" s="57" t="n">
        <x:v>2.61</x:v>
      </x:c>
      <x:c r="M78" s="45" t="str">
        <x:v>kg</x:v>
      </x:c>
      <x:c r="N78" s="57"/>
      <x:c r="O78" s="45" t="str">
        <x:v>模拟半芯组合样</x:v>
      </x:c>
      <x:c r="P78" s="45" t="str">
        <x:v>未命名原列不适用（模拟）</x:v>
      </x:c>
    </x:row>
    <x:row r="79">
      <x:c r="A79" s="49" t="n">
        <x:f>IF(B79="","",ROW()-5)</x:f>
        <x:v>74</x:v>
      </x:c>
      <x:c r="B79" s="54" t="str">
        <x:v>SIM-S074</x:v>
      </x:c>
      <x:c r="C79" s="54" t="str">
        <x:v>R060</x:v>
      </x:c>
      <x:c r="D79" s="57" t="n">
        <x:v>1.6</x:v>
      </x:c>
      <x:c r="E79" s="54" t="str">
        <x:v>R061</x:v>
      </x:c>
      <x:c r="F79" s="57" t="n">
        <x:v>0.6</x:v>
      </x:c>
      <x:c r="G79" s="57" t="n">
        <x:v>178.6</x:v>
      </x:c>
      <x:c r="H79" s="57" t="n">
        <x:v>180.6</x:v>
      </x:c>
      <x:c r="I79" s="57" t="n">
        <x:v>2</x:v>
      </x:c>
      <x:c r="J79" s="57" t="n">
        <x:v>1.69</x:v>
      </x:c>
      <x:c r="K79" s="58" t="n">
        <x:f>IF(OR(I79="",J79="",I79&lt;=0),"",J79/I79*100)</x:f>
        <x:v>84.5</x:v>
      </x:c>
      <x:c r="L79" s="57" t="n">
        <x:v>2.88</x:v>
      </x:c>
      <x:c r="M79" s="45" t="str">
        <x:v>kg</x:v>
      </x:c>
      <x:c r="N79" s="57"/>
      <x:c r="O79" s="45" t="str">
        <x:v>模拟半芯组合样</x:v>
      </x:c>
      <x:c r="P79" s="45" t="str">
        <x:v>未命名原列不适用（模拟）</x:v>
      </x:c>
    </x:row>
    <x:row r="80">
      <x:c r="A80" s="49" t="n">
        <x:f>IF(B80="","",ROW()-5)</x:f>
        <x:v>75</x:v>
      </x:c>
      <x:c r="B80" s="54" t="str">
        <x:v>SIM-S075</x:v>
      </x:c>
      <x:c r="C80" s="54" t="str">
        <x:v>R061</x:v>
      </x:c>
      <x:c r="D80" s="57" t="n">
        <x:v>0.8</x:v>
      </x:c>
      <x:c r="E80" s="54" t="str">
        <x:v>R061</x:v>
      </x:c>
      <x:c r="F80" s="57" t="n">
        <x:v>2.8</x:v>
      </x:c>
      <x:c r="G80" s="57" t="n">
        <x:v>180.8</x:v>
      </x:c>
      <x:c r="H80" s="57" t="n">
        <x:v>182.8</x:v>
      </x:c>
      <x:c r="I80" s="57" t="n">
        <x:v>2</x:v>
      </x:c>
      <x:c r="J80" s="57" t="n">
        <x:v>1.77</x:v>
      </x:c>
      <x:c r="K80" s="58" t="n">
        <x:f>IF(OR(I80="",J80="",I80&lt;=0),"",J80/I80*100)</x:f>
        <x:v>88.5</x:v>
      </x:c>
      <x:c r="L80" s="57" t="n">
        <x:v>3</x:v>
      </x:c>
      <x:c r="M80" s="45" t="str">
        <x:v>kg</x:v>
      </x:c>
      <x:c r="N80" s="57"/>
      <x:c r="O80" s="45" t="str">
        <x:v>模拟半芯组合样</x:v>
      </x:c>
      <x:c r="P80" s="45" t="str">
        <x:v>未命名原列不适用（模拟）</x:v>
      </x:c>
    </x:row>
    <x:row r="81">
      <x:c r="A81" s="49" t="n">
        <x:f>IF(B81="","",ROW()-5)</x:f>
        <x:v>76</x:v>
      </x:c>
      <x:c r="B81" s="54" t="str">
        <x:v>SIM-S076</x:v>
      </x:c>
      <x:c r="C81" s="54" t="str">
        <x:v>R062</x:v>
      </x:c>
      <x:c r="D81" s="57" t="n">
        <x:v>0</x:v>
      </x:c>
      <x:c r="E81" s="54" t="str">
        <x:v>R062</x:v>
      </x:c>
      <x:c r="F81" s="57" t="n">
        <x:v>2</x:v>
      </x:c>
      <x:c r="G81" s="57" t="n">
        <x:v>183</x:v>
      </x:c>
      <x:c r="H81" s="57" t="n">
        <x:v>185</x:v>
      </x:c>
      <x:c r="I81" s="57" t="n">
        <x:v>2</x:v>
      </x:c>
      <x:c r="J81" s="57" t="n">
        <x:v>1.88</x:v>
      </x:c>
      <x:c r="K81" s="58" t="n">
        <x:f>IF(OR(I81="",J81="",I81&lt;=0),"",J81/I81*100)</x:f>
        <x:v>94</x:v>
      </x:c>
      <x:c r="L81" s="57" t="n">
        <x:v>2.9</x:v>
      </x:c>
      <x:c r="M81" s="45" t="str">
        <x:v>kg</x:v>
      </x:c>
      <x:c r="N81" s="57"/>
      <x:c r="O81" s="45" t="str">
        <x:v>模拟半芯组合样</x:v>
      </x:c>
      <x:c r="P81" s="45" t="str">
        <x:v>未命名原列不适用（模拟）</x:v>
      </x:c>
    </x:row>
    <x:row r="82">
      <x:c r="A82" s="49" t="n">
        <x:f>IF(B82="","",ROW()-5)</x:f>
        <x:v>77</x:v>
      </x:c>
      <x:c r="B82" s="54" t="str">
        <x:v>SIM-S077</x:v>
      </x:c>
      <x:c r="C82" s="54" t="str">
        <x:v>R062</x:v>
      </x:c>
      <x:c r="D82" s="57" t="n">
        <x:v>2.2</x:v>
      </x:c>
      <x:c r="E82" s="54" t="str">
        <x:v>R063</x:v>
      </x:c>
      <x:c r="F82" s="57" t="n">
        <x:v>1.2</x:v>
      </x:c>
      <x:c r="G82" s="57" t="n">
        <x:v>185.2</x:v>
      </x:c>
      <x:c r="H82" s="57" t="n">
        <x:v>187.2</x:v>
      </x:c>
      <x:c r="I82" s="57" t="n">
        <x:v>2</x:v>
      </x:c>
      <x:c r="J82" s="57" t="n">
        <x:v>1.91</x:v>
      </x:c>
      <x:c r="K82" s="58" t="n">
        <x:f>IF(OR(I82="",J82="",I82&lt;=0),"",J82/I82*100)</x:f>
        <x:v>95.5</x:v>
      </x:c>
      <x:c r="L82" s="57" t="n">
        <x:v>2.64</x:v>
      </x:c>
      <x:c r="M82" s="45" t="str">
        <x:v>kg</x:v>
      </x:c>
      <x:c r="N82" s="57"/>
      <x:c r="O82" s="45" t="str">
        <x:v>模拟半芯组合样</x:v>
      </x:c>
      <x:c r="P82" s="45" t="str">
        <x:v>未命名原列不适用（模拟）</x:v>
      </x:c>
    </x:row>
    <x:row r="83">
      <x:c r="A83" s="49" t="n">
        <x:f>IF(B83="","",ROW()-5)</x:f>
        <x:v>78</x:v>
      </x:c>
      <x:c r="B83" s="54" t="str">
        <x:v>SIM-S078</x:v>
      </x:c>
      <x:c r="C83" s="54" t="str">
        <x:v>R063</x:v>
      </x:c>
      <x:c r="D83" s="57" t="n">
        <x:v>1.4</x:v>
      </x:c>
      <x:c r="E83" s="54" t="str">
        <x:v>R064</x:v>
      </x:c>
      <x:c r="F83" s="57" t="n">
        <x:v>0.4</x:v>
      </x:c>
      <x:c r="G83" s="57" t="n">
        <x:v>187.4</x:v>
      </x:c>
      <x:c r="H83" s="57" t="n">
        <x:v>189.4</x:v>
      </x:c>
      <x:c r="I83" s="57" t="n">
        <x:v>2</x:v>
      </x:c>
      <x:c r="J83" s="57" t="n">
        <x:v>1.93</x:v>
      </x:c>
      <x:c r="K83" s="58" t="n">
        <x:f>IF(OR(I83="",J83="",I83&lt;=0),"",J83/I83*100)</x:f>
        <x:v>96.5</x:v>
      </x:c>
      <x:c r="L83" s="57" t="n">
        <x:v>2.34</x:v>
      </x:c>
      <x:c r="M83" s="45" t="str">
        <x:v>kg</x:v>
      </x:c>
      <x:c r="N83" s="57"/>
      <x:c r="O83" s="45" t="str">
        <x:v>模拟半芯组合样</x:v>
      </x:c>
      <x:c r="P83" s="45" t="str">
        <x:v>未命名原列不适用（模拟）</x:v>
      </x:c>
    </x:row>
    <x:row r="84">
      <x:c r="A84" s="49" t="n">
        <x:f>IF(B84="","",ROW()-5)</x:f>
        <x:v>79</x:v>
      </x:c>
      <x:c r="B84" s="54" t="str">
        <x:v>SIM-S079</x:v>
      </x:c>
      <x:c r="C84" s="54" t="str">
        <x:v>R064</x:v>
      </x:c>
      <x:c r="D84" s="57" t="n">
        <x:v>0.6</x:v>
      </x:c>
      <x:c r="E84" s="54" t="str">
        <x:v>R064</x:v>
      </x:c>
      <x:c r="F84" s="57" t="n">
        <x:v>2.6</x:v>
      </x:c>
      <x:c r="G84" s="57" t="n">
        <x:v>189.6</x:v>
      </x:c>
      <x:c r="H84" s="57" t="n">
        <x:v>191.6</x:v>
      </x:c>
      <x:c r="I84" s="57" t="n">
        <x:v>2</x:v>
      </x:c>
      <x:c r="J84" s="57" t="n">
        <x:v>1.93</x:v>
      </x:c>
      <x:c r="K84" s="58" t="n">
        <x:f>IF(OR(I84="",J84="",I84&lt;=0),"",J84/I84*100)</x:f>
        <x:v>96.5</x:v>
      </x:c>
      <x:c r="L84" s="57" t="n">
        <x:v>2.13</x:v>
      </x:c>
      <x:c r="M84" s="45" t="str">
        <x:v>kg</x:v>
      </x:c>
      <x:c r="N84" s="57"/>
      <x:c r="O84" s="45" t="str">
        <x:v>模拟半芯组合样</x:v>
      </x:c>
      <x:c r="P84" s="45" t="str">
        <x:v>未命名原列不适用（模拟）</x:v>
      </x:c>
    </x:row>
    <x:row r="85">
      <x:c r="A85" s="49" t="n">
        <x:f>IF(B85="","",ROW()-5)</x:f>
        <x:v>80</x:v>
      </x:c>
      <x:c r="B85" s="54" t="str">
        <x:v>SIM-S080</x:v>
      </x:c>
      <x:c r="C85" s="54" t="str">
        <x:v>R064</x:v>
      </x:c>
      <x:c r="D85" s="57" t="n">
        <x:v>2.8</x:v>
      </x:c>
      <x:c r="E85" s="54" t="str">
        <x:v>R065</x:v>
      </x:c>
      <x:c r="F85" s="57" t="n">
        <x:v>1.8</x:v>
      </x:c>
      <x:c r="G85" s="57" t="n">
        <x:v>191.8</x:v>
      </x:c>
      <x:c r="H85" s="57" t="n">
        <x:v>193.8</x:v>
      </x:c>
      <x:c r="I85" s="57" t="n">
        <x:v>2</x:v>
      </x:c>
      <x:c r="J85" s="57" t="n">
        <x:v>1.85</x:v>
      </x:c>
      <x:c r="K85" s="58" t="n">
        <x:f>IF(OR(I85="",J85="",I85&lt;=0),"",J85/I85*100)</x:f>
        <x:v>92.5</x:v>
      </x:c>
      <x:c r="L85" s="57" t="n">
        <x:v>2.12</x:v>
      </x:c>
      <x:c r="M85" s="45" t="str">
        <x:v>kg</x:v>
      </x:c>
      <x:c r="N85" s="57"/>
      <x:c r="O85" s="45" t="str">
        <x:v>模拟半芯组合样</x:v>
      </x:c>
      <x:c r="P85" s="45" t="str">
        <x:v>未命名原列不适用（模拟）</x:v>
      </x:c>
    </x:row>
    <x:row r="86">
      <x:c r="A86" s="49" t="n">
        <x:f>IF(B86="","",ROW()-5)</x:f>
        <x:v>81</x:v>
      </x:c>
      <x:c r="B86" s="54" t="str">
        <x:v>SIM-S081</x:v>
      </x:c>
      <x:c r="C86" s="54" t="str">
        <x:v>R065</x:v>
      </x:c>
      <x:c r="D86" s="57" t="n">
        <x:v>2</x:v>
      </x:c>
      <x:c r="E86" s="54" t="str">
        <x:v>R066</x:v>
      </x:c>
      <x:c r="F86" s="57" t="n">
        <x:v>1</x:v>
      </x:c>
      <x:c r="G86" s="57" t="n">
        <x:v>194</x:v>
      </x:c>
      <x:c r="H86" s="57" t="n">
        <x:v>196</x:v>
      </x:c>
      <x:c r="I86" s="57" t="n">
        <x:v>2</x:v>
      </x:c>
      <x:c r="J86" s="57" t="n">
        <x:v>1.79</x:v>
      </x:c>
      <x:c r="K86" s="58" t="n">
        <x:f>IF(OR(I86="",J86="",I86&lt;=0),"",J86/I86*100)</x:f>
        <x:v>89.5</x:v>
      </x:c>
      <x:c r="L86" s="57" t="n">
        <x:v>2.32</x:v>
      </x:c>
      <x:c r="M86" s="45" t="str">
        <x:v>kg</x:v>
      </x:c>
      <x:c r="N86" s="57"/>
      <x:c r="O86" s="45" t="str">
        <x:v>模拟半芯组合样</x:v>
      </x:c>
      <x:c r="P86" s="45" t="str">
        <x:v>未命名原列不适用（模拟）</x:v>
      </x:c>
    </x:row>
    <x:row r="87">
      <x:c r="A87" s="49" t="n">
        <x:f>IF(B87="","",ROW()-5)</x:f>
        <x:v>82</x:v>
      </x:c>
      <x:c r="B87" s="54" t="str">
        <x:v>SIM-S082</x:v>
      </x:c>
      <x:c r="C87" s="54" t="str">
        <x:v>R066</x:v>
      </x:c>
      <x:c r="D87" s="57" t="n">
        <x:v>1.2</x:v>
      </x:c>
      <x:c r="E87" s="54" t="str">
        <x:v>R067</x:v>
      </x:c>
      <x:c r="F87" s="57" t="n">
        <x:v>0.2</x:v>
      </x:c>
      <x:c r="G87" s="57" t="n">
        <x:v>196.2</x:v>
      </x:c>
      <x:c r="H87" s="57" t="n">
        <x:v>198.2</x:v>
      </x:c>
      <x:c r="I87" s="57" t="n">
        <x:v>2</x:v>
      </x:c>
      <x:c r="J87" s="57" t="n">
        <x:v>1.72</x:v>
      </x:c>
      <x:c r="K87" s="58" t="n">
        <x:f>IF(OR(I87="",J87="",I87&lt;=0),"",J87/I87*100)</x:f>
        <x:v>86</x:v>
      </x:c>
      <x:c r="L87" s="57" t="n">
        <x:v>2.62</x:v>
      </x:c>
      <x:c r="M87" s="45" t="str">
        <x:v>kg</x:v>
      </x:c>
      <x:c r="N87" s="57"/>
      <x:c r="O87" s="45" t="str">
        <x:v>模拟半芯组合样</x:v>
      </x:c>
      <x:c r="P87" s="45" t="str">
        <x:v>未命名原列不适用（模拟）</x:v>
      </x:c>
    </x:row>
    <x:row r="88">
      <x:c r="A88" s="49" t="n">
        <x:f>IF(B88="","",ROW()-5)</x:f>
        <x:v>83</x:v>
      </x:c>
      <x:c r="B88" s="54" t="str">
        <x:v>SIM-S083</x:v>
      </x:c>
      <x:c r="C88" s="54" t="str">
        <x:v>R067</x:v>
      </x:c>
      <x:c r="D88" s="57" t="n">
        <x:v>0.4</x:v>
      </x:c>
      <x:c r="E88" s="54" t="str">
        <x:v>R067</x:v>
      </x:c>
      <x:c r="F88" s="57" t="n">
        <x:v>2.4</x:v>
      </x:c>
      <x:c r="G88" s="57" t="n">
        <x:v>198.4</x:v>
      </x:c>
      <x:c r="H88" s="57" t="n">
        <x:v>200.4</x:v>
      </x:c>
      <x:c r="I88" s="57" t="n">
        <x:v>2</x:v>
      </x:c>
      <x:c r="J88" s="57" t="n">
        <x:v>1.62</x:v>
      </x:c>
      <x:c r="K88" s="58" t="n">
        <x:f>IF(OR(I88="",J88="",I88&lt;=0),"",J88/I88*100)</x:f>
        <x:v>81</x:v>
      </x:c>
      <x:c r="L88" s="57" t="n">
        <x:v>2.89</x:v>
      </x:c>
      <x:c r="M88" s="45" t="str">
        <x:v>kg</x:v>
      </x:c>
      <x:c r="N88" s="57"/>
      <x:c r="O88" s="45" t="str">
        <x:v>模拟半芯组合样</x:v>
      </x:c>
      <x:c r="P88" s="45" t="str">
        <x:v>未命名原列不适用（模拟）</x:v>
      </x:c>
    </x:row>
    <x:row r="89">
      <x:c r="A89" s="49" t="n">
        <x:f>IF(B89="","",ROW()-5)</x:f>
        <x:v>84</x:v>
      </x:c>
      <x:c r="B89" s="54" t="str">
        <x:v>SIM-S084</x:v>
      </x:c>
      <x:c r="C89" s="54" t="str">
        <x:v>R067</x:v>
      </x:c>
      <x:c r="D89" s="57" t="n">
        <x:v>2.6</x:v>
      </x:c>
      <x:c r="E89" s="54" t="str">
        <x:v>R068</x:v>
      </x:c>
      <x:c r="F89" s="57" t="n">
        <x:v>1.6</x:v>
      </x:c>
      <x:c r="G89" s="57" t="n">
        <x:v>200.6</x:v>
      </x:c>
      <x:c r="H89" s="57" t="n">
        <x:v>202.6</x:v>
      </x:c>
      <x:c r="I89" s="57" t="n">
        <x:v>2</x:v>
      </x:c>
      <x:c r="J89" s="57" t="n">
        <x:v>1.58</x:v>
      </x:c>
      <x:c r="K89" s="58" t="n">
        <x:f>IF(OR(I89="",J89="",I89&lt;=0),"",J89/I89*100)</x:f>
        <x:v>79</x:v>
      </x:c>
      <x:c r="L89" s="57" t="n">
        <x:v>3</x:v>
      </x:c>
      <x:c r="M89" s="45" t="str">
        <x:v>kg</x:v>
      </x:c>
      <x:c r="N89" s="57"/>
      <x:c r="O89" s="45" t="str">
        <x:v>模拟半芯组合样</x:v>
      </x:c>
      <x:c r="P89" s="45" t="str">
        <x:v>未命名原列不适用（模拟）</x:v>
      </x:c>
    </x:row>
    <x:row r="90">
      <x:c r="A90" s="49" t="n">
        <x:f>IF(B90="","",ROW()-5)</x:f>
        <x:v>85</x:v>
      </x:c>
      <x:c r="B90" s="54" t="str">
        <x:v>SIM-S085</x:v>
      </x:c>
      <x:c r="C90" s="54" t="str">
        <x:v>R068</x:v>
      </x:c>
      <x:c r="D90" s="57" t="n">
        <x:v>1.8</x:v>
      </x:c>
      <x:c r="E90" s="54" t="str">
        <x:v>R069</x:v>
      </x:c>
      <x:c r="F90" s="57" t="n">
        <x:v>0.8</x:v>
      </x:c>
      <x:c r="G90" s="57" t="n">
        <x:v>202.8</x:v>
      </x:c>
      <x:c r="H90" s="57" t="n">
        <x:v>204.8</x:v>
      </x:c>
      <x:c r="I90" s="57" t="n">
        <x:v>2</x:v>
      </x:c>
      <x:c r="J90" s="57" t="n">
        <x:v>1.57</x:v>
      </x:c>
      <x:c r="K90" s="58" t="n">
        <x:f>IF(OR(I90="",J90="",I90&lt;=0),"",J90/I90*100)</x:f>
        <x:v>78.5</x:v>
      </x:c>
      <x:c r="L90" s="57" t="n">
        <x:v>2.9</x:v>
      </x:c>
      <x:c r="M90" s="45" t="str">
        <x:v>kg</x:v>
      </x:c>
      <x:c r="N90" s="57"/>
      <x:c r="O90" s="45" t="str">
        <x:v>模拟半芯组合样</x:v>
      </x:c>
      <x:c r="P90" s="45" t="str">
        <x:v>未命名原列不适用（模拟）</x:v>
      </x:c>
    </x:row>
    <x:row r="91">
      <x:c r="A91" s="49" t="n">
        <x:f>IF(B91="","",ROW()-5)</x:f>
        <x:v>86</x:v>
      </x:c>
      <x:c r="B91" s="54" t="str">
        <x:v>SIM-S086</x:v>
      </x:c>
      <x:c r="C91" s="54" t="str">
        <x:v>R069</x:v>
      </x:c>
      <x:c r="D91" s="57" t="n">
        <x:v>1</x:v>
      </x:c>
      <x:c r="E91" s="54" t="str">
        <x:v>R069</x:v>
      </x:c>
      <x:c r="F91" s="57" t="n">
        <x:v>3</x:v>
      </x:c>
      <x:c r="G91" s="57" t="n">
        <x:v>205</x:v>
      </x:c>
      <x:c r="H91" s="57" t="n">
        <x:v>207</x:v>
      </x:c>
      <x:c r="I91" s="57" t="n">
        <x:v>2</x:v>
      </x:c>
      <x:c r="J91" s="57" t="n">
        <x:v>1.58</x:v>
      </x:c>
      <x:c r="K91" s="58" t="n">
        <x:f>IF(OR(I91="",J91="",I91&lt;=0),"",J91/I91*100)</x:f>
        <x:v>79</x:v>
      </x:c>
      <x:c r="L91" s="57" t="n">
        <x:v>2.64</x:v>
      </x:c>
      <x:c r="M91" s="45" t="str">
        <x:v>kg</x:v>
      </x:c>
      <x:c r="N91" s="57"/>
      <x:c r="O91" s="45" t="str">
        <x:v>模拟半芯组合样</x:v>
      </x:c>
      <x:c r="P91" s="45" t="str">
        <x:v>未命名原列不适用（模拟）</x:v>
      </x:c>
    </x:row>
    <x:row r="92">
      <x:c r="A92" s="49" t="n">
        <x:f>IF(B92="","",ROW()-5)</x:f>
        <x:v>87</x:v>
      </x:c>
      <x:c r="B92" s="54" t="str">
        <x:v>SIM-S087</x:v>
      </x:c>
      <x:c r="C92" s="54" t="str">
        <x:v>R070</x:v>
      </x:c>
      <x:c r="D92" s="57" t="n">
        <x:v>0.2</x:v>
      </x:c>
      <x:c r="E92" s="54" t="str">
        <x:v>R070</x:v>
      </x:c>
      <x:c r="F92" s="57" t="n">
        <x:v>2.2</x:v>
      </x:c>
      <x:c r="G92" s="57" t="n">
        <x:v>207.2</x:v>
      </x:c>
      <x:c r="H92" s="57" t="n">
        <x:v>209.2</x:v>
      </x:c>
      <x:c r="I92" s="57" t="n">
        <x:v>2</x:v>
      </x:c>
      <x:c r="J92" s="57" t="n">
        <x:v>1.66</x:v>
      </x:c>
      <x:c r="K92" s="58" t="n">
        <x:f>IF(OR(I92="",J92="",I92&lt;=0),"",J92/I92*100)</x:f>
        <x:v>83</x:v>
      </x:c>
      <x:c r="L92" s="57" t="n">
        <x:v>2.33</x:v>
      </x:c>
      <x:c r="M92" s="45" t="str">
        <x:v>kg</x:v>
      </x:c>
      <x:c r="N92" s="57"/>
      <x:c r="O92" s="45" t="str">
        <x:v>模拟半芯组合样</x:v>
      </x:c>
      <x:c r="P92" s="45" t="str">
        <x:v>未命名原列不适用（模拟）</x:v>
      </x:c>
    </x:row>
    <x:row r="93">
      <x:c r="A93" s="49" t="n">
        <x:f>IF(B93="","",ROW()-5)</x:f>
        <x:v>88</x:v>
      </x:c>
      <x:c r="B93" s="54" t="str">
        <x:v>SIM-S088</x:v>
      </x:c>
      <x:c r="C93" s="54" t="str">
        <x:v>R070</x:v>
      </x:c>
      <x:c r="D93" s="57" t="n">
        <x:v>2.4</x:v>
      </x:c>
      <x:c r="E93" s="54" t="str">
        <x:v>R071</x:v>
      </x:c>
      <x:c r="F93" s="57" t="n">
        <x:v>1.4</x:v>
      </x:c>
      <x:c r="G93" s="57" t="n">
        <x:v>209.4</x:v>
      </x:c>
      <x:c r="H93" s="57" t="n">
        <x:v>211.4</x:v>
      </x:c>
      <x:c r="I93" s="57" t="n">
        <x:v>2</x:v>
      </x:c>
      <x:c r="J93" s="57" t="n">
        <x:v>1.74</x:v>
      </x:c>
      <x:c r="K93" s="58" t="n">
        <x:f>IF(OR(I93="",J93="",I93&lt;=0),"",J93/I93*100)</x:f>
        <x:v>87</x:v>
      </x:c>
      <x:c r="L93" s="57" t="n">
        <x:v>2.13</x:v>
      </x:c>
      <x:c r="M93" s="45" t="str">
        <x:v>kg</x:v>
      </x:c>
      <x:c r="N93" s="57"/>
      <x:c r="O93" s="45" t="str">
        <x:v>模拟半芯组合样</x:v>
      </x:c>
      <x:c r="P93" s="45" t="str">
        <x:v>未命名原列不适用（模拟）</x:v>
      </x:c>
    </x:row>
    <x:row r="94">
      <x:c r="A94" s="49" t="n">
        <x:f>IF(B94="","",ROW()-5)</x:f>
        <x:v>89</x:v>
      </x:c>
      <x:c r="B94" s="54" t="str">
        <x:v>SIM-S089</x:v>
      </x:c>
      <x:c r="C94" s="54" t="str">
        <x:v>R071</x:v>
      </x:c>
      <x:c r="D94" s="57" t="n">
        <x:v>1.6</x:v>
      </x:c>
      <x:c r="E94" s="54" t="str">
        <x:v>R072</x:v>
      </x:c>
      <x:c r="F94" s="57" t="n">
        <x:v>0.6</x:v>
      </x:c>
      <x:c r="G94" s="57" t="n">
        <x:v>211.6</x:v>
      </x:c>
      <x:c r="H94" s="57" t="n">
        <x:v>213.6</x:v>
      </x:c>
      <x:c r="I94" s="57" t="n">
        <x:v>2</x:v>
      </x:c>
      <x:c r="J94" s="57" t="n">
        <x:v>1.81</x:v>
      </x:c>
      <x:c r="K94" s="58" t="n">
        <x:f>IF(OR(I94="",J94="",I94&lt;=0),"",J94/I94*100)</x:f>
        <x:v>90.5</x:v>
      </x:c>
      <x:c r="L94" s="57" t="n">
        <x:v>2.13</x:v>
      </x:c>
      <x:c r="M94" s="45" t="str">
        <x:v>kg</x:v>
      </x:c>
      <x:c r="N94" s="57"/>
      <x:c r="O94" s="45" t="str">
        <x:v>模拟半芯组合样</x:v>
      </x:c>
      <x:c r="P94" s="45" t="str">
        <x:v>未命名原列不适用（模拟）</x:v>
      </x:c>
    </x:row>
    <x:row r="95">
      <x:c r="A95" s="49" t="n">
        <x:f>IF(B95="","",ROW()-5)</x:f>
        <x:v>90</x:v>
      </x:c>
      <x:c r="B95" s="54" t="str">
        <x:v>SIM-S090</x:v>
      </x:c>
      <x:c r="C95" s="54" t="str">
        <x:v>R072</x:v>
      </x:c>
      <x:c r="D95" s="57" t="n">
        <x:v>0.8</x:v>
      </x:c>
      <x:c r="E95" s="54" t="str">
        <x:v>R072</x:v>
      </x:c>
      <x:c r="F95" s="57" t="n">
        <x:v>2.8</x:v>
      </x:c>
      <x:c r="G95" s="57" t="n">
        <x:v>213.8</x:v>
      </x:c>
      <x:c r="H95" s="57" t="n">
        <x:v>215.8</x:v>
      </x:c>
      <x:c r="I95" s="57" t="n">
        <x:v>2</x:v>
      </x:c>
      <x:c r="J95" s="57" t="n">
        <x:v>1.88</x:v>
      </x:c>
      <x:c r="K95" s="58" t="n">
        <x:f>IF(OR(I95="",J95="",I95&lt;=0),"",J95/I95*100)</x:f>
        <x:v>94</x:v>
      </x:c>
      <x:c r="L95" s="57" t="n">
        <x:v>2.32</x:v>
      </x:c>
      <x:c r="M95" s="45" t="str">
        <x:v>kg</x:v>
      </x:c>
      <x:c r="N95" s="57"/>
      <x:c r="O95" s="45" t="str">
        <x:v>模拟半芯组合样</x:v>
      </x:c>
      <x:c r="P95" s="45" t="str">
        <x:v>未命名原列不适用（模拟）</x:v>
      </x:c>
    </x:row>
    <x:row r="96">
      <x:c r="A96" s="49" t="n">
        <x:f>IF(B96="","",ROW()-5)</x:f>
        <x:v>91</x:v>
      </x:c>
      <x:c r="B96" s="54" t="str">
        <x:v>SIM-S091</x:v>
      </x:c>
      <x:c r="C96" s="54" t="str">
        <x:v>R073</x:v>
      </x:c>
      <x:c r="D96" s="57" t="n">
        <x:v>0</x:v>
      </x:c>
      <x:c r="E96" s="54" t="str">
        <x:v>R073</x:v>
      </x:c>
      <x:c r="F96" s="57" t="n">
        <x:v>2</x:v>
      </x:c>
      <x:c r="G96" s="57" t="n">
        <x:v>216</x:v>
      </x:c>
      <x:c r="H96" s="57" t="n">
        <x:v>218</x:v>
      </x:c>
      <x:c r="I96" s="57" t="n">
        <x:v>2</x:v>
      </x:c>
      <x:c r="J96" s="57" t="n">
        <x:v>1.93</x:v>
      </x:c>
      <x:c r="K96" s="58" t="n">
        <x:f>IF(OR(I96="",J96="",I96&lt;=0),"",J96/I96*100)</x:f>
        <x:v>96.5</x:v>
      </x:c>
      <x:c r="L96" s="57" t="n">
        <x:v>2.63</x:v>
      </x:c>
      <x:c r="M96" s="45" t="str">
        <x:v>kg</x:v>
      </x:c>
      <x:c r="N96" s="57"/>
      <x:c r="O96" s="45" t="str">
        <x:v>模拟半芯组合样</x:v>
      </x:c>
      <x:c r="P96" s="45" t="str">
        <x:v>未命名原列不适用（模拟）</x:v>
      </x:c>
    </x:row>
    <x:row r="97">
      <x:c r="A97" s="49" t="n">
        <x:f>IF(B97="","",ROW()-5)</x:f>
        <x:v>92</x:v>
      </x:c>
      <x:c r="B97" s="54" t="str">
        <x:v>SIM-S092</x:v>
      </x:c>
      <x:c r="C97" s="54" t="str">
        <x:v>R073</x:v>
      </x:c>
      <x:c r="D97" s="57" t="n">
        <x:v>2.2</x:v>
      </x:c>
      <x:c r="E97" s="54" t="str">
        <x:v>R074</x:v>
      </x:c>
      <x:c r="F97" s="57" t="n">
        <x:v>1.2</x:v>
      </x:c>
      <x:c r="G97" s="57" t="n">
        <x:v>218.2</x:v>
      </x:c>
      <x:c r="H97" s="57" t="n">
        <x:v>220.2</x:v>
      </x:c>
      <x:c r="I97" s="57" t="n">
        <x:v>2</x:v>
      </x:c>
      <x:c r="J97" s="57" t="n">
        <x:v>1.93</x:v>
      </x:c>
      <x:c r="K97" s="58" t="n">
        <x:f>IF(OR(I97="",J97="",I97&lt;=0),"",J97/I97*100)</x:f>
        <x:v>96.5</x:v>
      </x:c>
      <x:c r="L97" s="57" t="n">
        <x:v>2.89</x:v>
      </x:c>
      <x:c r="M97" s="45" t="str">
        <x:v>kg</x:v>
      </x:c>
      <x:c r="N97" s="57"/>
      <x:c r="O97" s="45" t="str">
        <x:v>模拟半芯组合样</x:v>
      </x:c>
      <x:c r="P97" s="45" t="str">
        <x:v>未命名原列不适用（模拟）</x:v>
      </x:c>
    </x:row>
    <x:row r="98">
      <x:c r="A98" s="49" t="n">
        <x:f>IF(B98="","",ROW()-5)</x:f>
        <x:v>93</x:v>
      </x:c>
      <x:c r="B98" s="54" t="str">
        <x:v>SIM-S093</x:v>
      </x:c>
      <x:c r="C98" s="54" t="str">
        <x:v>R074</x:v>
      </x:c>
      <x:c r="D98" s="57" t="n">
        <x:v>1.4</x:v>
      </x:c>
      <x:c r="E98" s="54" t="str">
        <x:v>R075</x:v>
      </x:c>
      <x:c r="F98" s="57" t="n">
        <x:v>0.4</x:v>
      </x:c>
      <x:c r="G98" s="57" t="n">
        <x:v>220.4</x:v>
      </x:c>
      <x:c r="H98" s="57" t="n">
        <x:v>222.4</x:v>
      </x:c>
      <x:c r="I98" s="57" t="n">
        <x:v>2</x:v>
      </x:c>
      <x:c r="J98" s="57" t="n">
        <x:v>1.9</x:v>
      </x:c>
      <x:c r="K98" s="58" t="n">
        <x:f>IF(OR(I98="",J98="",I98&lt;=0),"",J98/I98*100)</x:f>
        <x:v>95</x:v>
      </x:c>
      <x:c r="L98" s="57" t="n">
        <x:v>3</x:v>
      </x:c>
      <x:c r="M98" s="45" t="str">
        <x:v>kg</x:v>
      </x:c>
      <x:c r="N98" s="57"/>
      <x:c r="O98" s="45" t="str">
        <x:v>模拟半芯组合样</x:v>
      </x:c>
      <x:c r="P98" s="45" t="str">
        <x:v>未命名原列不适用（模拟）</x:v>
      </x:c>
    </x:row>
    <x:row r="99">
      <x:c r="A99" s="49" t="n">
        <x:f>IF(B99="","",ROW()-5)</x:f>
        <x:v>94</x:v>
      </x:c>
      <x:c r="B99" s="54" t="str">
        <x:v>SIM-S094</x:v>
      </x:c>
      <x:c r="C99" s="54" t="str">
        <x:v>R075</x:v>
      </x:c>
      <x:c r="D99" s="57" t="n">
        <x:v>0.6</x:v>
      </x:c>
      <x:c r="E99" s="54" t="str">
        <x:v>R075</x:v>
      </x:c>
      <x:c r="F99" s="57" t="n">
        <x:v>2.6</x:v>
      </x:c>
      <x:c r="G99" s="57" t="n">
        <x:v>222.6</x:v>
      </x:c>
      <x:c r="H99" s="57" t="n">
        <x:v>224.6</x:v>
      </x:c>
      <x:c r="I99" s="57" t="n">
        <x:v>2</x:v>
      </x:c>
      <x:c r="J99" s="57" t="n">
        <x:v>1.84</x:v>
      </x:c>
      <x:c r="K99" s="58" t="n">
        <x:f>IF(OR(I99="",J99="",I99&lt;=0),"",J99/I99*100)</x:f>
        <x:v>92</x:v>
      </x:c>
      <x:c r="L99" s="57" t="n">
        <x:v>2.89</x:v>
      </x:c>
      <x:c r="M99" s="45" t="str">
        <x:v>kg</x:v>
      </x:c>
      <x:c r="N99" s="57"/>
      <x:c r="O99" s="45" t="str">
        <x:v>模拟半芯组合样</x:v>
      </x:c>
      <x:c r="P99" s="45" t="str">
        <x:v>未命名原列不适用（模拟）</x:v>
      </x:c>
    </x:row>
    <x:row r="100">
      <x:c r="A100" s="49" t="n">
        <x:f>IF(B100="","",ROW()-5)</x:f>
        <x:v>95</x:v>
      </x:c>
      <x:c r="B100" s="54" t="str">
        <x:v>SIM-S095</x:v>
      </x:c>
      <x:c r="C100" s="54" t="str">
        <x:v>R075</x:v>
      </x:c>
      <x:c r="D100" s="57" t="n">
        <x:v>2.8</x:v>
      </x:c>
      <x:c r="E100" s="54" t="str">
        <x:v>R076</x:v>
      </x:c>
      <x:c r="F100" s="57" t="n">
        <x:v>1.8</x:v>
      </x:c>
      <x:c r="G100" s="57" t="n">
        <x:v>224.8</x:v>
      </x:c>
      <x:c r="H100" s="57" t="n">
        <x:v>226.8</x:v>
      </x:c>
      <x:c r="I100" s="57" t="n">
        <x:v>2</x:v>
      </x:c>
      <x:c r="J100" s="57" t="n">
        <x:v>1.74</x:v>
      </x:c>
      <x:c r="K100" s="58" t="n">
        <x:f>IF(OR(I100="",J100="",I100&lt;=0),"",J100/I100*100)</x:f>
        <x:v>87</x:v>
      </x:c>
      <x:c r="L100" s="57" t="n">
        <x:v>2.63</x:v>
      </x:c>
      <x:c r="M100" s="45" t="str">
        <x:v>kg</x:v>
      </x:c>
      <x:c r="N100" s="57"/>
      <x:c r="O100" s="45" t="str">
        <x:v>模拟半芯组合样</x:v>
      </x:c>
      <x:c r="P100" s="45" t="str">
        <x:v>未命名原列不适用（模拟）</x:v>
      </x:c>
    </x:row>
    <x:row r="101">
      <x:c r="A101" s="49" t="n">
        <x:f>IF(B101="","",ROW()-5)</x:f>
        <x:v>96</x:v>
      </x:c>
      <x:c r="B101" s="54" t="str">
        <x:v>SIM-S096</x:v>
      </x:c>
      <x:c r="C101" s="54" t="str">
        <x:v>R076</x:v>
      </x:c>
      <x:c r="D101" s="57" t="n">
        <x:v>2</x:v>
      </x:c>
      <x:c r="E101" s="54" t="str">
        <x:v>R077</x:v>
      </x:c>
      <x:c r="F101" s="57" t="n">
        <x:v>1</x:v>
      </x:c>
      <x:c r="G101" s="57" t="n">
        <x:v>227</x:v>
      </x:c>
      <x:c r="H101" s="57" t="n">
        <x:v>229</x:v>
      </x:c>
      <x:c r="I101" s="57" t="n">
        <x:v>2</x:v>
      </x:c>
      <x:c r="J101" s="57" t="n">
        <x:v>1.67</x:v>
      </x:c>
      <x:c r="K101" s="58" t="n">
        <x:f>IF(OR(I101="",J101="",I101&lt;=0),"",J101/I101*100)</x:f>
        <x:v>83.5</x:v>
      </x:c>
      <x:c r="L101" s="57" t="n">
        <x:v>2.32</x:v>
      </x:c>
      <x:c r="M101" s="45" t="str">
        <x:v>kg</x:v>
      </x:c>
      <x:c r="N101" s="57"/>
      <x:c r="O101" s="45" t="str">
        <x:v>模拟半芯组合样</x:v>
      </x:c>
      <x:c r="P101" s="45" t="str">
        <x:v>未命名原列不适用（模拟）</x:v>
      </x:c>
    </x:row>
    <x:row r="102">
      <x:c r="A102" s="49" t="n">
        <x:f>IF(B102="","",ROW()-5)</x:f>
        <x:v>97</x:v>
      </x:c>
      <x:c r="B102" s="54" t="str">
        <x:v>SIM-S097</x:v>
      </x:c>
      <x:c r="C102" s="54" t="str">
        <x:v>R077</x:v>
      </x:c>
      <x:c r="D102" s="57" t="n">
        <x:v>1.2</x:v>
      </x:c>
      <x:c r="E102" s="54" t="str">
        <x:v>R078</x:v>
      </x:c>
      <x:c r="F102" s="57" t="n">
        <x:v>0.2</x:v>
      </x:c>
      <x:c r="G102" s="57" t="n">
        <x:v>229.2</x:v>
      </x:c>
      <x:c r="H102" s="57" t="n">
        <x:v>231.2</x:v>
      </x:c>
      <x:c r="I102" s="57" t="n">
        <x:v>2</x:v>
      </x:c>
      <x:c r="J102" s="57" t="n">
        <x:v>1.61</x:v>
      </x:c>
      <x:c r="K102" s="58" t="n">
        <x:f>IF(OR(I102="",J102="",I102&lt;=0),"",J102/I102*100)</x:f>
        <x:v>80.5</x:v>
      </x:c>
      <x:c r="L102" s="57" t="n">
        <x:v>2.13</x:v>
      </x:c>
      <x:c r="M102" s="45" t="str">
        <x:v>kg</x:v>
      </x:c>
      <x:c r="N102" s="57"/>
      <x:c r="O102" s="45" t="str">
        <x:v>模拟半芯组合样</x:v>
      </x:c>
      <x:c r="P102" s="45" t="str">
        <x:v>未命名原列不适用（模拟）</x:v>
      </x:c>
    </x:row>
    <x:row r="103">
      <x:c r="A103" s="49" t="n">
        <x:f>IF(B103="","",ROW()-5)</x:f>
        <x:v>98</x:v>
      </x:c>
      <x:c r="B103" s="54" t="str">
        <x:v>SIM-S098</x:v>
      </x:c>
      <x:c r="C103" s="54" t="str">
        <x:v>R078</x:v>
      </x:c>
      <x:c r="D103" s="57" t="n">
        <x:v>0.4</x:v>
      </x:c>
      <x:c r="E103" s="54" t="str">
        <x:v>R078</x:v>
      </x:c>
      <x:c r="F103" s="57" t="n">
        <x:v>2.4</x:v>
      </x:c>
      <x:c r="G103" s="57" t="n">
        <x:v>231.4</x:v>
      </x:c>
      <x:c r="H103" s="57" t="n">
        <x:v>233.4</x:v>
      </x:c>
      <x:c r="I103" s="57" t="n">
        <x:v>2</x:v>
      </x:c>
      <x:c r="J103" s="57" t="n">
        <x:v>1.56</x:v>
      </x:c>
      <x:c r="K103" s="58" t="n">
        <x:f>IF(OR(I103="",J103="",I103&lt;=0),"",J103/I103*100)</x:f>
        <x:v>78</x:v>
      </x:c>
      <x:c r="L103" s="57" t="n">
        <x:v>2.13</x:v>
      </x:c>
      <x:c r="M103" s="45" t="str">
        <x:v>kg</x:v>
      </x:c>
      <x:c r="N103" s="57"/>
      <x:c r="O103" s="45" t="str">
        <x:v>模拟半芯组合样</x:v>
      </x:c>
      <x:c r="P103" s="45" t="str">
        <x:v>未命名原列不适用（模拟）</x:v>
      </x:c>
    </x:row>
    <x:row r="104">
      <x:c r="A104" s="49" t="n">
        <x:f>IF(B104="","",ROW()-5)</x:f>
        <x:v>99</x:v>
      </x:c>
      <x:c r="B104" s="54" t="str">
        <x:v>SIM-S099</x:v>
      </x:c>
      <x:c r="C104" s="54" t="str">
        <x:v>R078</x:v>
      </x:c>
      <x:c r="D104" s="57" t="n">
        <x:v>2.6</x:v>
      </x:c>
      <x:c r="E104" s="54" t="str">
        <x:v>R079</x:v>
      </x:c>
      <x:c r="F104" s="57" t="n">
        <x:v>1.6</x:v>
      </x:c>
      <x:c r="G104" s="57" t="n">
        <x:v>233.6</x:v>
      </x:c>
      <x:c r="H104" s="57" t="n">
        <x:v>235.6</x:v>
      </x:c>
      <x:c r="I104" s="57" t="n">
        <x:v>2</x:v>
      </x:c>
      <x:c r="J104" s="57" t="n">
        <x:v>1.58</x:v>
      </x:c>
      <x:c r="K104" s="58" t="n">
        <x:f>IF(OR(I104="",J104="",I104&lt;=0),"",J104/I104*100)</x:f>
        <x:v>79</x:v>
      </x:c>
      <x:c r="L104" s="57" t="n">
        <x:v>2.33</x:v>
      </x:c>
      <x:c r="M104" s="45" t="str">
        <x:v>kg</x:v>
      </x:c>
      <x:c r="N104" s="57"/>
      <x:c r="O104" s="45" t="str">
        <x:v>模拟半芯组合样</x:v>
      </x:c>
      <x:c r="P104" s="45" t="str">
        <x:v>未命名原列不适用（模拟）</x:v>
      </x:c>
    </x:row>
    <x:row r="105">
      <x:c r="A105" s="49" t="n">
        <x:f>IF(B105="","",ROW()-5)</x:f>
        <x:v>100</x:v>
      </x:c>
      <x:c r="B105" s="54" t="str">
        <x:v>SIM-S100</x:v>
      </x:c>
      <x:c r="C105" s="54" t="str">
        <x:v>R079</x:v>
      </x:c>
      <x:c r="D105" s="57" t="n">
        <x:v>1.8</x:v>
      </x:c>
      <x:c r="E105" s="54" t="str">
        <x:v>R080</x:v>
      </x:c>
      <x:c r="F105" s="57" t="n">
        <x:v>0.8</x:v>
      </x:c>
      <x:c r="G105" s="57" t="n">
        <x:v>235.8</x:v>
      </x:c>
      <x:c r="H105" s="57" t="n">
        <x:v>237.8</x:v>
      </x:c>
      <x:c r="I105" s="57" t="n">
        <x:v>2</x:v>
      </x:c>
      <x:c r="J105" s="57" t="n">
        <x:v>1.61</x:v>
      </x:c>
      <x:c r="K105" s="58" t="n">
        <x:f>IF(OR(I105="",J105="",I105&lt;=0),"",J105/I105*100)</x:f>
        <x:v>80.5</x:v>
      </x:c>
      <x:c r="L105" s="57" t="n">
        <x:v>2.63</x:v>
      </x:c>
      <x:c r="M105" s="45" t="str">
        <x:v>kg</x:v>
      </x:c>
      <x:c r="N105" s="57"/>
      <x:c r="O105" s="45" t="str">
        <x:v>模拟半芯组合样</x:v>
      </x:c>
      <x:c r="P105" s="45" t="str">
        <x:v>未命名原列不适用（模拟）</x:v>
      </x:c>
    </x:row>
    <x:row r="106">
      <x:c r="A106" s="49" t="n">
        <x:f>IF(B106="","",ROW()-5)</x:f>
        <x:v>101</x:v>
      </x:c>
      <x:c r="B106" s="54" t="str">
        <x:v>SIM-S101</x:v>
      </x:c>
      <x:c r="C106" s="54" t="str">
        <x:v>R080</x:v>
      </x:c>
      <x:c r="D106" s="57" t="n">
        <x:v>1</x:v>
      </x:c>
      <x:c r="E106" s="54" t="str">
        <x:v>R080</x:v>
      </x:c>
      <x:c r="F106" s="57" t="n">
        <x:v>3</x:v>
      </x:c>
      <x:c r="G106" s="57" t="n">
        <x:v>238</x:v>
      </x:c>
      <x:c r="H106" s="57" t="n">
        <x:v>240</x:v>
      </x:c>
      <x:c r="I106" s="57" t="n">
        <x:v>2</x:v>
      </x:c>
      <x:c r="J106" s="57" t="n">
        <x:v>1.66</x:v>
      </x:c>
      <x:c r="K106" s="58" t="n">
        <x:f>IF(OR(I106="",J106="",I106&lt;=0),"",J106/I106*100)</x:f>
        <x:v>83</x:v>
      </x:c>
      <x:c r="L106" s="57" t="n">
        <x:v>2.9</x:v>
      </x:c>
      <x:c r="M106" s="45" t="str">
        <x:v>kg</x:v>
      </x:c>
      <x:c r="N106" s="57"/>
      <x:c r="O106" s="45" t="str">
        <x:v>模拟半芯组合样</x:v>
      </x:c>
      <x:c r="P106" s="45" t="str">
        <x:v>未命名原列不适用（模拟）</x:v>
      </x:c>
    </x:row>
    <x:row r="107">
      <x:c r="A107" s="49" t="n">
        <x:f>IF(B107="","",ROW()-5)</x:f>
        <x:v>102</x:v>
      </x:c>
      <x:c r="B107" s="54" t="str">
        <x:v>SIM-S102</x:v>
      </x:c>
      <x:c r="C107" s="54" t="str">
        <x:v>R081</x:v>
      </x:c>
      <x:c r="D107" s="57" t="n">
        <x:v>0.2</x:v>
      </x:c>
      <x:c r="E107" s="54" t="str">
        <x:v>R081</x:v>
      </x:c>
      <x:c r="F107" s="57" t="n">
        <x:v>2.2</x:v>
      </x:c>
      <x:c r="G107" s="57" t="n">
        <x:v>240.2</x:v>
      </x:c>
      <x:c r="H107" s="57" t="n">
        <x:v>242.2</x:v>
      </x:c>
      <x:c r="I107" s="57" t="n">
        <x:v>2</x:v>
      </x:c>
      <x:c r="J107" s="57" t="n">
        <x:v>1.77</x:v>
      </x:c>
      <x:c r="K107" s="58" t="n">
        <x:f>IF(OR(I107="",J107="",I107&lt;=0),"",J107/I107*100)</x:f>
        <x:v>88.5</x:v>
      </x:c>
      <x:c r="L107" s="57" t="n">
        <x:v>3</x:v>
      </x:c>
      <x:c r="M107" s="45" t="str">
        <x:v>kg</x:v>
      </x:c>
      <x:c r="N107" s="57"/>
      <x:c r="O107" s="45" t="str">
        <x:v>模拟半芯组合样</x:v>
      </x:c>
      <x:c r="P107" s="45" t="str">
        <x:v>未命名原列不适用（模拟）</x:v>
      </x:c>
    </x:row>
    <x:row r="108">
      <x:c r="A108" s="49" t="n">
        <x:f>IF(B108="","",ROW()-5)</x:f>
        <x:v>103</x:v>
      </x:c>
      <x:c r="B108" s="54" t="str">
        <x:v>SIM-S103</x:v>
      </x:c>
      <x:c r="C108" s="54" t="str">
        <x:v>R081</x:v>
      </x:c>
      <x:c r="D108" s="57" t="n">
        <x:v>2.4</x:v>
      </x:c>
      <x:c r="E108" s="54" t="str">
        <x:v>R082</x:v>
      </x:c>
      <x:c r="F108" s="57" t="n">
        <x:v>1.4</x:v>
      </x:c>
      <x:c r="G108" s="57" t="n">
        <x:v>242.4</x:v>
      </x:c>
      <x:c r="H108" s="57" t="n">
        <x:v>244.4</x:v>
      </x:c>
      <x:c r="I108" s="57" t="n">
        <x:v>2</x:v>
      </x:c>
      <x:c r="J108" s="57" t="n">
        <x:v>1.85</x:v>
      </x:c>
      <x:c r="K108" s="58" t="n">
        <x:f>IF(OR(I108="",J108="",I108&lt;=0),"",J108/I108*100)</x:f>
        <x:v>92.5</x:v>
      </x:c>
      <x:c r="L108" s="57" t="n">
        <x:v>2.89</x:v>
      </x:c>
      <x:c r="M108" s="45" t="str">
        <x:v>kg</x:v>
      </x:c>
      <x:c r="N108" s="57"/>
      <x:c r="O108" s="45" t="str">
        <x:v>模拟半芯组合样</x:v>
      </x:c>
      <x:c r="P108" s="45" t="str">
        <x:v>未命名原列不适用（模拟）</x:v>
      </x:c>
    </x:row>
    <x:row r="109">
      <x:c r="A109" s="49" t="n">
        <x:f>IF(B109="","",ROW()-5)</x:f>
        <x:v>104</x:v>
      </x:c>
      <x:c r="B109" s="54" t="str">
        <x:v>SIM-S104</x:v>
      </x:c>
      <x:c r="C109" s="54" t="str">
        <x:v>R082</x:v>
      </x:c>
      <x:c r="D109" s="57" t="n">
        <x:v>1.6</x:v>
      </x:c>
      <x:c r="E109" s="54" t="str">
        <x:v>R083</x:v>
      </x:c>
      <x:c r="F109" s="57" t="n">
        <x:v>0.6</x:v>
      </x:c>
      <x:c r="G109" s="57" t="n">
        <x:v>244.6</x:v>
      </x:c>
      <x:c r="H109" s="57" t="n">
        <x:v>246.6</x:v>
      </x:c>
      <x:c r="I109" s="57" t="n">
        <x:v>2</x:v>
      </x:c>
      <x:c r="J109" s="57" t="n">
        <x:v>1.9</x:v>
      </x:c>
      <x:c r="K109" s="58" t="n">
        <x:f>IF(OR(I109="",J109="",I109&lt;=0),"",J109/I109*100)</x:f>
        <x:v>95</x:v>
      </x:c>
      <x:c r="L109" s="57" t="n">
        <x:v>2.62</x:v>
      </x:c>
      <x:c r="M109" s="45" t="str">
        <x:v>kg</x:v>
      </x:c>
      <x:c r="N109" s="57"/>
      <x:c r="O109" s="45" t="str">
        <x:v>模拟半芯组合样</x:v>
      </x:c>
      <x:c r="P109" s="45" t="str">
        <x:v>未命名原列不适用（模拟）</x:v>
      </x:c>
    </x:row>
    <x:row r="110">
      <x:c r="A110" s="49" t="n">
        <x:f>IF(B110="","",ROW()-5)</x:f>
        <x:v>105</x:v>
      </x:c>
      <x:c r="B110" s="54" t="str">
        <x:v>SIM-S105</x:v>
      </x:c>
      <x:c r="C110" s="54" t="str">
        <x:v>R083</x:v>
      </x:c>
      <x:c r="D110" s="57" t="n">
        <x:v>0.8</x:v>
      </x:c>
      <x:c r="E110" s="54" t="str">
        <x:v>R083</x:v>
      </x:c>
      <x:c r="F110" s="57" t="n">
        <x:v>2.8</x:v>
      </x:c>
      <x:c r="G110" s="57" t="n">
        <x:v>246.8</x:v>
      </x:c>
      <x:c r="H110" s="57" t="n">
        <x:v>248.8</x:v>
      </x:c>
      <x:c r="I110" s="57" t="n">
        <x:v>2</x:v>
      </x:c>
      <x:c r="J110" s="57" t="n">
        <x:v>1.94</x:v>
      </x:c>
      <x:c r="K110" s="58" t="n">
        <x:f>IF(OR(I110="",J110="",I110&lt;=0),"",J110/I110*100)</x:f>
        <x:v>97</x:v>
      </x:c>
      <x:c r="L110" s="57" t="n">
        <x:v>2.32</x:v>
      </x:c>
      <x:c r="M110" s="45" t="str">
        <x:v>kg</x:v>
      </x:c>
      <x:c r="N110" s="57"/>
      <x:c r="O110" s="45" t="str">
        <x:v>模拟半芯组合样</x:v>
      </x:c>
      <x:c r="P110" s="45" t="str">
        <x:v>未命名原列不适用（模拟）</x:v>
      </x:c>
    </x:row>
    <x:row r="111">
      <x:c r="A111" s="49" t="n">
        <x:f>IF(B111="","",ROW()-5)</x:f>
        <x:v>106</x:v>
      </x:c>
      <x:c r="B111" s="54" t="str">
        <x:v>SIM-S106</x:v>
      </x:c>
      <x:c r="C111" s="54" t="str">
        <x:v>R084</x:v>
      </x:c>
      <x:c r="D111" s="57" t="n">
        <x:v>0</x:v>
      </x:c>
      <x:c r="E111" s="54" t="str">
        <x:v>R084</x:v>
      </x:c>
      <x:c r="F111" s="57" t="n">
        <x:v>2</x:v>
      </x:c>
      <x:c r="G111" s="57" t="n">
        <x:v>249</x:v>
      </x:c>
      <x:c r="H111" s="57" t="n">
        <x:v>251</x:v>
      </x:c>
      <x:c r="I111" s="57" t="n">
        <x:v>2</x:v>
      </x:c>
      <x:c r="J111" s="57" t="n">
        <x:v>1.92</x:v>
      </x:c>
      <x:c r="K111" s="58" t="n">
        <x:f>IF(OR(I111="",J111="",I111&lt;=0),"",J111/I111*100)</x:f>
        <x:v>96</x:v>
      </x:c>
      <x:c r="L111" s="57" t="n">
        <x:v>2.12</x:v>
      </x:c>
      <x:c r="M111" s="45" t="str">
        <x:v>kg</x:v>
      </x:c>
      <x:c r="N111" s="57"/>
      <x:c r="O111" s="45" t="str">
        <x:v>模拟半芯组合样</x:v>
      </x:c>
      <x:c r="P111" s="45" t="str">
        <x:v>未命名原列不适用（模拟）</x:v>
      </x:c>
    </x:row>
    <x:row r="112">
      <x:c r="A112" s="49" t="n">
        <x:f>IF(B112="","",ROW()-5)</x:f>
        <x:v>107</x:v>
      </x:c>
      <x:c r="B112" s="54" t="str">
        <x:v>SIM-S107</x:v>
      </x:c>
      <x:c r="C112" s="54" t="str">
        <x:v>R084</x:v>
      </x:c>
      <x:c r="D112" s="57" t="n">
        <x:v>2.2</x:v>
      </x:c>
      <x:c r="E112" s="54" t="str">
        <x:v>R085</x:v>
      </x:c>
      <x:c r="F112" s="57" t="n">
        <x:v>1.2</x:v>
      </x:c>
      <x:c r="G112" s="57" t="n">
        <x:v>251.2</x:v>
      </x:c>
      <x:c r="H112" s="57" t="n">
        <x:v>253.2</x:v>
      </x:c>
      <x:c r="I112" s="57" t="n">
        <x:v>2</x:v>
      </x:c>
      <x:c r="J112" s="57" t="n">
        <x:v>1.87</x:v>
      </x:c>
      <x:c r="K112" s="58" t="n">
        <x:f>IF(OR(I112="",J112="",I112&lt;=0),"",J112/I112*100)</x:f>
        <x:v>93.5</x:v>
      </x:c>
      <x:c r="L112" s="57" t="n">
        <x:v>2.13</x:v>
      </x:c>
      <x:c r="M112" s="45" t="str">
        <x:v>kg</x:v>
      </x:c>
      <x:c r="N112" s="57"/>
      <x:c r="O112" s="45" t="str">
        <x:v>模拟半芯组合样</x:v>
      </x:c>
      <x:c r="P112" s="45" t="str">
        <x:v>未命名原列不适用（模拟）</x:v>
      </x:c>
    </x:row>
    <x:row r="113">
      <x:c r="A113" s="49" t="n">
        <x:f>IF(B113="","",ROW()-5)</x:f>
        <x:v>108</x:v>
      </x:c>
      <x:c r="B113" s="54" t="str">
        <x:v>SIM-S108</x:v>
      </x:c>
      <x:c r="C113" s="54" t="str">
        <x:v>R085</x:v>
      </x:c>
      <x:c r="D113" s="57" t="n">
        <x:v>1.4</x:v>
      </x:c>
      <x:c r="E113" s="54" t="str">
        <x:v>R086</x:v>
      </x:c>
      <x:c r="F113" s="57" t="n">
        <x:v>0.4</x:v>
      </x:c>
      <x:c r="G113" s="57" t="n">
        <x:v>253.4</x:v>
      </x:c>
      <x:c r="H113" s="57" t="n">
        <x:v>255.4</x:v>
      </x:c>
      <x:c r="I113" s="57" t="n">
        <x:v>2</x:v>
      </x:c>
      <x:c r="J113" s="57" t="n">
        <x:v>1.82</x:v>
      </x:c>
      <x:c r="K113" s="58" t="n">
        <x:f>IF(OR(I113="",J113="",I113&lt;=0),"",J113/I113*100)</x:f>
        <x:v>91</x:v>
      </x:c>
      <x:c r="L113" s="57" t="n">
        <x:v>2.33</x:v>
      </x:c>
      <x:c r="M113" s="45" t="str">
        <x:v>kg</x:v>
      </x:c>
      <x:c r="N113" s="57"/>
      <x:c r="O113" s="45" t="str">
        <x:v>模拟半芯组合样</x:v>
      </x:c>
      <x:c r="P113" s="45" t="str">
        <x:v>未命名原列不适用（模拟）</x:v>
      </x:c>
    </x:row>
    <x:row r="114">
      <x:c r="A114" s="49" t="n">
        <x:f>IF(B114="","",ROW()-5)</x:f>
        <x:v>109</x:v>
      </x:c>
      <x:c r="B114" s="54" t="str">
        <x:v>SIM-S109</x:v>
      </x:c>
      <x:c r="C114" s="54" t="str">
        <x:v>R086</x:v>
      </x:c>
      <x:c r="D114" s="57" t="n">
        <x:v>0.6</x:v>
      </x:c>
      <x:c r="E114" s="54" t="str">
        <x:v>R086</x:v>
      </x:c>
      <x:c r="F114" s="57" t="n">
        <x:v>2.6</x:v>
      </x:c>
      <x:c r="G114" s="57" t="n">
        <x:v>255.6</x:v>
      </x:c>
      <x:c r="H114" s="57" t="n">
        <x:v>257.6</x:v>
      </x:c>
      <x:c r="I114" s="57" t="n">
        <x:v>2</x:v>
      </x:c>
      <x:c r="J114" s="57" t="n">
        <x:v>1.72</x:v>
      </x:c>
      <x:c r="K114" s="58" t="n">
        <x:f>IF(OR(I114="",J114="",I114&lt;=0),"",J114/I114*100)</x:f>
        <x:v>86</x:v>
      </x:c>
      <x:c r="L114" s="57" t="n">
        <x:v>2.64</x:v>
      </x:c>
      <x:c r="M114" s="45" t="str">
        <x:v>kg</x:v>
      </x:c>
      <x:c r="N114" s="57"/>
      <x:c r="O114" s="45" t="str">
        <x:v>模拟半芯组合样</x:v>
      </x:c>
      <x:c r="P114" s="45" t="str">
        <x:v>未命名原列不适用（模拟）</x:v>
      </x:c>
    </x:row>
    <x:row r="115">
      <x:c r="A115" s="49" t="n">
        <x:f>IF(B115="","",ROW()-5)</x:f>
        <x:v>110</x:v>
      </x:c>
      <x:c r="B115" s="54" t="str">
        <x:v>SIM-S110</x:v>
      </x:c>
      <x:c r="C115" s="54" t="str">
        <x:v>R086</x:v>
      </x:c>
      <x:c r="D115" s="57" t="n">
        <x:v>2.8</x:v>
      </x:c>
      <x:c r="E115" s="54" t="str">
        <x:v>R087</x:v>
      </x:c>
      <x:c r="F115" s="57" t="n">
        <x:v>1.8</x:v>
      </x:c>
      <x:c r="G115" s="57" t="n">
        <x:v>257.8</x:v>
      </x:c>
      <x:c r="H115" s="57" t="n">
        <x:v>259.8</x:v>
      </x:c>
      <x:c r="I115" s="57" t="n">
        <x:v>2</x:v>
      </x:c>
      <x:c r="J115" s="57" t="n">
        <x:v>1.63</x:v>
      </x:c>
      <x:c r="K115" s="58" t="n">
        <x:f>IF(OR(I115="",J115="",I115&lt;=0),"",J115/I115*100)</x:f>
        <x:v>81.5</x:v>
      </x:c>
      <x:c r="L115" s="57" t="n">
        <x:v>2.9</x:v>
      </x:c>
      <x:c r="M115" s="45" t="str">
        <x:v>kg</x:v>
      </x:c>
      <x:c r="N115" s="57"/>
      <x:c r="O115" s="45" t="str">
        <x:v>模拟半芯组合样</x:v>
      </x:c>
      <x:c r="P115" s="45" t="str">
        <x:v>未命名原列不适用（模拟）</x:v>
      </x:c>
    </x:row>
    <x:row r="116">
      <x:c r="A116" s="49" t="n">
        <x:f>IF(B116="","",ROW()-5)</x:f>
        <x:v>111</x:v>
      </x:c>
      <x:c r="B116" s="54" t="str">
        <x:v>SIM-S111</x:v>
      </x:c>
      <x:c r="C116" s="54" t="str">
        <x:v>R087</x:v>
      </x:c>
      <x:c r="D116" s="57" t="n">
        <x:v>2</x:v>
      </x:c>
      <x:c r="E116" s="54" t="str">
        <x:v>R088</x:v>
      </x:c>
      <x:c r="F116" s="57" t="n">
        <x:v>1</x:v>
      </x:c>
      <x:c r="G116" s="57" t="n">
        <x:v>260</x:v>
      </x:c>
      <x:c r="H116" s="57" t="n">
        <x:v>262</x:v>
      </x:c>
      <x:c r="I116" s="57" t="n">
        <x:v>2</x:v>
      </x:c>
      <x:c r="J116" s="57" t="n">
        <x:v>1.59</x:v>
      </x:c>
      <x:c r="K116" s="58" t="n">
        <x:f>IF(OR(I116="",J116="",I116&lt;=0),"",J116/I116*100)</x:f>
        <x:v>79.5</x:v>
      </x:c>
      <x:c r="L116" s="57" t="n">
        <x:v>3</x:v>
      </x:c>
      <x:c r="M116" s="45" t="str">
        <x:v>kg</x:v>
      </x:c>
      <x:c r="N116" s="57"/>
      <x:c r="O116" s="45" t="str">
        <x:v>模拟半芯组合样</x:v>
      </x:c>
      <x:c r="P116" s="45" t="str">
        <x:v>未命名原列不适用（模拟）</x:v>
      </x:c>
    </x:row>
    <x:row r="117">
      <x:c r="A117" s="49" t="n">
        <x:f>IF(B117="","",ROW()-5)</x:f>
        <x:v>112</x:v>
      </x:c>
      <x:c r="B117" s="54" t="str">
        <x:v>SIM-S112</x:v>
      </x:c>
      <x:c r="C117" s="54" t="str">
        <x:v>R088</x:v>
      </x:c>
      <x:c r="D117" s="57" t="n">
        <x:v>1.2</x:v>
      </x:c>
      <x:c r="E117" s="54" t="str">
        <x:v>R089</x:v>
      </x:c>
      <x:c r="F117" s="57" t="n">
        <x:v>0.2</x:v>
      </x:c>
      <x:c r="G117" s="57" t="n">
        <x:v>262.2</x:v>
      </x:c>
      <x:c r="H117" s="57" t="n">
        <x:v>264.2</x:v>
      </x:c>
      <x:c r="I117" s="57" t="n">
        <x:v>2</x:v>
      </x:c>
      <x:c r="J117" s="57" t="n">
        <x:v>1.56</x:v>
      </x:c>
      <x:c r="K117" s="58" t="n">
        <x:f>IF(OR(I117="",J117="",I117&lt;=0),"",J117/I117*100)</x:f>
        <x:v>78</x:v>
      </x:c>
      <x:c r="L117" s="57" t="n">
        <x:v>2.89</x:v>
      </x:c>
      <x:c r="M117" s="45" t="str">
        <x:v>kg</x:v>
      </x:c>
      <x:c r="N117" s="57"/>
      <x:c r="O117" s="45" t="str">
        <x:v>模拟半芯组合样</x:v>
      </x:c>
      <x:c r="P117" s="45" t="str">
        <x:v>未命名原列不适用（模拟）</x:v>
      </x:c>
    </x:row>
    <x:row r="118">
      <x:c r="A118" s="49" t="n">
        <x:f>IF(B118="","",ROW()-5)</x:f>
        <x:v>113</x:v>
      </x:c>
      <x:c r="B118" s="54" t="str">
        <x:v>SIM-S113</x:v>
      </x:c>
      <x:c r="C118" s="54" t="str">
        <x:v>R089</x:v>
      </x:c>
      <x:c r="D118" s="57" t="n">
        <x:v>0.4</x:v>
      </x:c>
      <x:c r="E118" s="54" t="str">
        <x:v>R089</x:v>
      </x:c>
      <x:c r="F118" s="57" t="n">
        <x:v>2.4</x:v>
      </x:c>
      <x:c r="G118" s="57" t="n">
        <x:v>264.4</x:v>
      </x:c>
      <x:c r="H118" s="57" t="n">
        <x:v>266.4</x:v>
      </x:c>
      <x:c r="I118" s="57" t="n">
        <x:v>2</x:v>
      </x:c>
      <x:c r="J118" s="57" t="n">
        <x:v>1.58</x:v>
      </x:c>
      <x:c r="K118" s="58" t="n">
        <x:f>IF(OR(I118="",J118="",I118&lt;=0),"",J118/I118*100)</x:f>
        <x:v>79</x:v>
      </x:c>
      <x:c r="L118" s="57" t="n">
        <x:v>2.61</x:v>
      </x:c>
      <x:c r="M118" s="45" t="str">
        <x:v>kg</x:v>
      </x:c>
      <x:c r="N118" s="57"/>
      <x:c r="O118" s="45" t="str">
        <x:v>模拟半芯组合样</x:v>
      </x:c>
      <x:c r="P118" s="45" t="str">
        <x:v>未命名原列不适用（模拟）</x:v>
      </x:c>
    </x:row>
    <x:row r="119">
      <x:c r="A119" s="49" t="n">
        <x:f>IF(B119="","",ROW()-5)</x:f>
        <x:v>114</x:v>
      </x:c>
      <x:c r="B119" s="54" t="str">
        <x:v>SIM-S114</x:v>
      </x:c>
      <x:c r="C119" s="54" t="str">
        <x:v>R089</x:v>
      </x:c>
      <x:c r="D119" s="57" t="n">
        <x:v>2.6</x:v>
      </x:c>
      <x:c r="E119" s="54" t="str">
        <x:v>R090</x:v>
      </x:c>
      <x:c r="F119" s="57" t="n">
        <x:v>1.6</x:v>
      </x:c>
      <x:c r="G119" s="57" t="n">
        <x:v>266.6</x:v>
      </x:c>
      <x:c r="H119" s="57" t="n">
        <x:v>268.6</x:v>
      </x:c>
      <x:c r="I119" s="57" t="n">
        <x:v>2</x:v>
      </x:c>
      <x:c r="J119" s="57" t="n">
        <x:v>1.64</x:v>
      </x:c>
      <x:c r="K119" s="58" t="n">
        <x:f>IF(OR(I119="",J119="",I119&lt;=0),"",J119/I119*100)</x:f>
        <x:v>82</x:v>
      </x:c>
      <x:c r="L119" s="57" t="n">
        <x:v>2.31</x:v>
      </x:c>
      <x:c r="M119" s="45" t="str">
        <x:v>kg</x:v>
      </x:c>
      <x:c r="N119" s="57"/>
      <x:c r="O119" s="45" t="str">
        <x:v>模拟半芯组合样</x:v>
      </x:c>
      <x:c r="P119" s="45" t="str">
        <x:v>未命名原列不适用（模拟）</x:v>
      </x:c>
    </x:row>
    <x:row r="120">
      <x:c r="A120" s="49" t="n">
        <x:f>IF(B120="","",ROW()-5)</x:f>
        <x:v>115</x:v>
      </x:c>
      <x:c r="B120" s="54" t="str">
        <x:v>SIM-S115</x:v>
      </x:c>
      <x:c r="C120" s="54" t="str">
        <x:v>R090</x:v>
      </x:c>
      <x:c r="D120" s="57" t="n">
        <x:v>1.8</x:v>
      </x:c>
      <x:c r="E120" s="54" t="str">
        <x:v>R091</x:v>
      </x:c>
      <x:c r="F120" s="57" t="n">
        <x:v>0.8</x:v>
      </x:c>
      <x:c r="G120" s="57" t="n">
        <x:v>268.8</x:v>
      </x:c>
      <x:c r="H120" s="57" t="n">
        <x:v>270.8</x:v>
      </x:c>
      <x:c r="I120" s="57" t="n">
        <x:v>2</x:v>
      </x:c>
      <x:c r="J120" s="57" t="n">
        <x:v>1.71</x:v>
      </x:c>
      <x:c r="K120" s="58" t="n">
        <x:f>IF(OR(I120="",J120="",I120&lt;=0),"",J120/I120*100)</x:f>
        <x:v>85.5</x:v>
      </x:c>
      <x:c r="L120" s="57" t="n">
        <x:v>2.12</x:v>
      </x:c>
      <x:c r="M120" s="45" t="str">
        <x:v>kg</x:v>
      </x:c>
      <x:c r="N120" s="57"/>
      <x:c r="O120" s="45" t="str">
        <x:v>模拟半芯组合样</x:v>
      </x:c>
      <x:c r="P120" s="45" t="str">
        <x:v>未命名原列不适用（模拟）</x:v>
      </x:c>
    </x:row>
    <x:row r="121">
      <x:c r="A121" s="49" t="n">
        <x:f>IF(B121="","",ROW()-5)</x:f>
        <x:v>116</x:v>
      </x:c>
      <x:c r="B121" s="54" t="str">
        <x:v>SIM-S116</x:v>
      </x:c>
      <x:c r="C121" s="54" t="str">
        <x:v>R091</x:v>
      </x:c>
      <x:c r="D121" s="57" t="n">
        <x:v>1</x:v>
      </x:c>
      <x:c r="E121" s="54" t="str">
        <x:v>R091</x:v>
      </x:c>
      <x:c r="F121" s="57" t="n">
        <x:v>3</x:v>
      </x:c>
      <x:c r="G121" s="57" t="n">
        <x:v>271</x:v>
      </x:c>
      <x:c r="H121" s="57" t="n">
        <x:v>273</x:v>
      </x:c>
      <x:c r="I121" s="57" t="n">
        <x:v>2</x:v>
      </x:c>
      <x:c r="J121" s="57" t="n">
        <x:v>1.78</x:v>
      </x:c>
      <x:c r="K121" s="58" t="n">
        <x:f>IF(OR(I121="",J121="",I121&lt;=0),"",J121/I121*100)</x:f>
        <x:v>89</x:v>
      </x:c>
      <x:c r="L121" s="57" t="n">
        <x:v>2.13</x:v>
      </x:c>
      <x:c r="M121" s="45" t="str">
        <x:v>kg</x:v>
      </x:c>
      <x:c r="N121" s="57"/>
      <x:c r="O121" s="45" t="str">
        <x:v>模拟半芯组合样</x:v>
      </x:c>
      <x:c r="P121" s="45" t="str">
        <x:v>未命名原列不适用（模拟）</x:v>
      </x:c>
    </x:row>
    <x:row r="122">
      <x:c r="A122" s="49" t="n">
        <x:f>IF(B122="","",ROW()-5)</x:f>
        <x:v>117</x:v>
      </x:c>
      <x:c r="B122" s="54" t="str">
        <x:v>SIM-S117</x:v>
      </x:c>
      <x:c r="C122" s="54" t="str">
        <x:v>R092</x:v>
      </x:c>
      <x:c r="D122" s="57" t="n">
        <x:v>0.2</x:v>
      </x:c>
      <x:c r="E122" s="54" t="str">
        <x:v>R092</x:v>
      </x:c>
      <x:c r="F122" s="57" t="n">
        <x:v>2.2</x:v>
      </x:c>
      <x:c r="G122" s="57" t="n">
        <x:v>273.2</x:v>
      </x:c>
      <x:c r="H122" s="57" t="n">
        <x:v>275.2</x:v>
      </x:c>
      <x:c r="I122" s="57" t="n">
        <x:v>2</x:v>
      </x:c>
      <x:c r="J122" s="57" t="n">
        <x:v>1.89</x:v>
      </x:c>
      <x:c r="K122" s="58" t="n">
        <x:f>IF(OR(I122="",J122="",I122&lt;=0),"",J122/I122*100)</x:f>
        <x:v>94.5</x:v>
      </x:c>
      <x:c r="L122" s="57" t="n">
        <x:v>2.34</x:v>
      </x:c>
      <x:c r="M122" s="45" t="str">
        <x:v>kg</x:v>
      </x:c>
      <x:c r="N122" s="57"/>
      <x:c r="O122" s="45" t="str">
        <x:v>模拟半芯组合样</x:v>
      </x:c>
      <x:c r="P122" s="45" t="str">
        <x:v>未命名原列不适用（模拟）</x:v>
      </x:c>
    </x:row>
    <x:row r="123">
      <x:c r="A123" s="49" t="n">
        <x:f>IF(B123="","",ROW()-5)</x:f>
        <x:v>118</x:v>
      </x:c>
      <x:c r="B123" s="54" t="str">
        <x:v>SIM-S118</x:v>
      </x:c>
      <x:c r="C123" s="54" t="str">
        <x:v>R092</x:v>
      </x:c>
      <x:c r="D123" s="57" t="n">
        <x:v>2.4</x:v>
      </x:c>
      <x:c r="E123" s="54" t="str">
        <x:v>R093</x:v>
      </x:c>
      <x:c r="F123" s="57" t="n">
        <x:v>1.4</x:v>
      </x:c>
      <x:c r="G123" s="57" t="n">
        <x:v>275.4</x:v>
      </x:c>
      <x:c r="H123" s="57" t="n">
        <x:v>277.4</x:v>
      </x:c>
      <x:c r="I123" s="57" t="n">
        <x:v>2</x:v>
      </x:c>
      <x:c r="J123" s="57" t="n">
        <x:v>1.92</x:v>
      </x:c>
      <x:c r="K123" s="58" t="n">
        <x:f>IF(OR(I123="",J123="",I123&lt;=0),"",J123/I123*100)</x:f>
        <x:v>96</x:v>
      </x:c>
      <x:c r="L123" s="57" t="n">
        <x:v>2.65</x:v>
      </x:c>
      <x:c r="M123" s="45" t="str">
        <x:v>kg</x:v>
      </x:c>
      <x:c r="N123" s="57"/>
      <x:c r="O123" s="45" t="str">
        <x:v>模拟半芯组合样</x:v>
      </x:c>
      <x:c r="P123" s="45" t="str">
        <x:v>未命名原列不适用（模拟）</x:v>
      </x:c>
    </x:row>
    <x:row r="124">
      <x:c r="A124" s="49" t="n">
        <x:f>IF(B124="","",ROW()-5)</x:f>
        <x:v>119</x:v>
      </x:c>
      <x:c r="B124" s="54" t="str">
        <x:v>SIM-S119</x:v>
      </x:c>
      <x:c r="C124" s="54" t="str">
        <x:v>R093</x:v>
      </x:c>
      <x:c r="D124" s="57" t="n">
        <x:v>1.6</x:v>
      </x:c>
      <x:c r="E124" s="54" t="str">
        <x:v>R094</x:v>
      </x:c>
      <x:c r="F124" s="57" t="n">
        <x:v>0.6</x:v>
      </x:c>
      <x:c r="G124" s="57" t="n">
        <x:v>277.6</x:v>
      </x:c>
      <x:c r="H124" s="57" t="n">
        <x:v>279.6</x:v>
      </x:c>
      <x:c r="I124" s="57" t="n">
        <x:v>2</x:v>
      </x:c>
      <x:c r="J124" s="57" t="n">
        <x:v>1.93</x:v>
      </x:c>
      <x:c r="K124" s="58" t="n">
        <x:f>IF(OR(I124="",J124="",I124&lt;=0),"",J124/I124*100)</x:f>
        <x:v>96.5</x:v>
      </x:c>
      <x:c r="L124" s="57" t="n">
        <x:v>2.91</x:v>
      </x:c>
      <x:c r="M124" s="45" t="str">
        <x:v>kg</x:v>
      </x:c>
      <x:c r="N124" s="57"/>
      <x:c r="O124" s="45" t="str">
        <x:v>模拟半芯组合样</x:v>
      </x:c>
      <x:c r="P124" s="45" t="str">
        <x:v>未命名原列不适用（模拟）</x:v>
      </x:c>
    </x:row>
    <x:row r="125">
      <x:c r="A125" s="49" t="n">
        <x:f>IF(B125="","",ROW()-5)</x:f>
        <x:v>120</x:v>
      </x:c>
      <x:c r="B125" s="54" t="str">
        <x:v>SIM-S120</x:v>
      </x:c>
      <x:c r="C125" s="54" t="str">
        <x:v>R094</x:v>
      </x:c>
      <x:c r="D125" s="57" t="n">
        <x:v>0.8</x:v>
      </x:c>
      <x:c r="E125" s="54" t="str">
        <x:v>R094</x:v>
      </x:c>
      <x:c r="F125" s="57" t="n">
        <x:v>2.8</x:v>
      </x:c>
      <x:c r="G125" s="57" t="n">
        <x:v>279.8</x:v>
      </x:c>
      <x:c r="H125" s="57" t="n">
        <x:v>281.8</x:v>
      </x:c>
      <x:c r="I125" s="57" t="n">
        <x:v>2</x:v>
      </x:c>
      <x:c r="J125" s="57" t="n">
        <x:v>1.92</x:v>
      </x:c>
      <x:c r="K125" s="58" t="n">
        <x:f>IF(OR(I125="",J125="",I125&lt;=0),"",J125/I125*100)</x:f>
        <x:v>96</x:v>
      </x:c>
      <x:c r="L125" s="57" t="n">
        <x:v>3</x:v>
      </x:c>
      <x:c r="M125" s="45" t="str">
        <x:v>kg</x:v>
      </x:c>
      <x:c r="N125" s="57"/>
      <x:c r="O125" s="45" t="str">
        <x:v>模拟半芯组合样</x:v>
      </x:c>
      <x:c r="P125" s="45" t="str">
        <x:v>未命名原列不适用（模拟）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24" hidden="0" customWidth="1"/>
    <x:col min="6" max="6" width="15" hidden="0" customWidth="1"/>
    <x:col min="7" max="7" width="14" hidden="0" customWidth="1"/>
    <x:col min="8" max="8" width="28" hidden="0" customWidth="1"/>
  </x:cols>
  <x:sheetData>
    <x:row r="1" ht="24" customHeight="1">
      <x:c r="A1" s="3" t="str">
        <x:v>自定义测试项目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任意新增项目/元素，不预置Au、Pb、Zn。代码由项目自行设定并在结果长表引用。</x:v>
      </x:c>
      <x:c r="B2" s="6"/>
      <x:c r="C2" s="6"/>
      <x:c r="D2" s="6"/>
      <x:c r="E2" s="6"/>
      <x:c r="F2" s="6"/>
      <x:c r="G2" s="6"/>
      <x:c r="H2" s="6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 ht="34" customHeight="1">
      <x:c r="A5" s="31" t="str">
        <x:v>项目代码</x:v>
      </x:c>
      <x:c r="B5" s="31" t="str">
        <x:v>项目名称/元素</x:v>
      </x:c>
      <x:c r="C5" s="31" t="str">
        <x:v>单位</x:v>
      </x:c>
      <x:c r="D5" s="31" t="str">
        <x:v>检出限</x:v>
      </x:c>
      <x:c r="E5" s="31" t="str">
        <x:v>分析方法</x:v>
      </x:c>
      <x:c r="F5" s="31" t="str">
        <x:v>图中显示</x:v>
      </x:c>
      <x:c r="G5" s="31" t="str">
        <x:v>显示顺序</x:v>
      </x:c>
      <x:c r="H5" s="31" t="str">
        <x:v>备注</x:v>
      </x:c>
    </x:row>
    <x:row r="6" ht="23" customHeight="1">
      <x:c r="A6" s="52" t="str">
        <x:v>Au</x:v>
      </x:c>
      <x:c r="B6" s="43" t="str">
        <x:v>金</x:v>
      </x:c>
      <x:c r="C6" s="52" t="str">
        <x:v>mg/kg</x:v>
      </x:c>
      <x:c r="D6" s="43" t="n">
        <x:v>0.005</x:v>
      </x:c>
      <x:c r="E6" s="43" t="str">
        <x:v>模拟检测法-Au</x:v>
      </x:c>
      <x:c r="F6" s="33" t="str">
        <x:v>是</x:v>
      </x:c>
      <x:c r="G6" s="43" t="n">
        <x:v>1</x:v>
      </x:c>
      <x:c r="H6" s="43" t="str">
        <x:v>模拟金含量</x:v>
      </x:c>
    </x:row>
    <x:row r="7" ht="23" customHeight="1">
      <x:c r="A7" s="53" t="str">
        <x:v>Ag</x:v>
      </x:c>
      <x:c r="B7" s="44" t="str">
        <x:v>银</x:v>
      </x:c>
      <x:c r="C7" s="53" t="str">
        <x:v>mg/kg</x:v>
      </x:c>
      <x:c r="D7" s="44" t="n">
        <x:v>0.1</x:v>
      </x:c>
      <x:c r="E7" s="44" t="str">
        <x:v>模拟检测法-Ag</x:v>
      </x:c>
      <x:c r="F7" s="34" t="str">
        <x:v>是</x:v>
      </x:c>
      <x:c r="G7" s="44" t="n">
        <x:v>2</x:v>
      </x:c>
      <x:c r="H7" s="44" t="str">
        <x:v>模拟银含量</x:v>
      </x:c>
    </x:row>
    <x:row r="8" ht="23" customHeight="1">
      <x:c r="A8" s="53" t="str">
        <x:v>Cu</x:v>
      </x:c>
      <x:c r="B8" s="44" t="str">
        <x:v>铜</x:v>
      </x:c>
      <x:c r="C8" s="53" t="str">
        <x:v>%</x:v>
      </x:c>
      <x:c r="D8" s="44" t="n">
        <x:v>0.001</x:v>
      </x:c>
      <x:c r="E8" s="44" t="str">
        <x:v>模拟检测法-Cu</x:v>
      </x:c>
      <x:c r="F8" s="34" t="str">
        <x:v>是</x:v>
      </x:c>
      <x:c r="G8" s="44" t="n">
        <x:v>3</x:v>
      </x:c>
      <x:c r="H8" s="44" t="str">
        <x:v>模拟铜质量分数</x:v>
      </x:c>
    </x:row>
    <x:row r="9" ht="23" customHeight="1">
      <x:c r="A9" s="53" t="str">
        <x:v>Pb</x:v>
      </x:c>
      <x:c r="B9" s="44" t="str">
        <x:v>铅</x:v>
      </x:c>
      <x:c r="C9" s="53" t="str">
        <x:v>%</x:v>
      </x:c>
      <x:c r="D9" s="44" t="n">
        <x:v>0.001</x:v>
      </x:c>
      <x:c r="E9" s="44" t="str">
        <x:v>模拟检测法-Pb</x:v>
      </x:c>
      <x:c r="F9" s="34" t="str">
        <x:v>是</x:v>
      </x:c>
      <x:c r="G9" s="44" t="n">
        <x:v>4</x:v>
      </x:c>
      <x:c r="H9" s="44" t="str">
        <x:v>模拟铅质量分数</x:v>
      </x:c>
    </x:row>
    <x:row r="10" ht="23" customHeight="1">
      <x:c r="A10" s="53" t="str">
        <x:v>Zn</x:v>
      </x:c>
      <x:c r="B10" s="44" t="str">
        <x:v>锌</x:v>
      </x:c>
      <x:c r="C10" s="53" t="str">
        <x:v>%</x:v>
      </x:c>
      <x:c r="D10" s="44" t="n">
        <x:v>0.001</x:v>
      </x:c>
      <x:c r="E10" s="44" t="str">
        <x:v>模拟检测法-Zn</x:v>
      </x:c>
      <x:c r="F10" s="34" t="str">
        <x:v>是</x:v>
      </x:c>
      <x:c r="G10" s="44" t="n">
        <x:v>5</x:v>
      </x:c>
      <x:c r="H10" s="44" t="str">
        <x:v>模拟锌质量分数</x:v>
      </x:c>
    </x:row>
    <x:row r="11" ht="23" customHeight="1">
      <x:c r="A11" s="53" t="str">
        <x:v>As</x:v>
      </x:c>
      <x:c r="B11" s="44" t="str">
        <x:v>砷</x:v>
      </x:c>
      <x:c r="C11" s="53" t="str">
        <x:v>mg/kg</x:v>
      </x:c>
      <x:c r="D11" s="44" t="n">
        <x:v>1</x:v>
      </x:c>
      <x:c r="E11" s="44" t="str">
        <x:v>模拟检测法-As</x:v>
      </x:c>
      <x:c r="F11" s="34" t="str">
        <x:v>是</x:v>
      </x:c>
      <x:c r="G11" s="44" t="n">
        <x:v>6</x:v>
      </x:c>
      <x:c r="H11" s="44" t="str">
        <x:v>模拟砷含量</x:v>
      </x:c>
    </x:row>
    <x:row r="12" ht="23" customHeight="1">
      <x:c r="A12" s="53"/>
      <x:c r="B12" s="44"/>
      <x:c r="C12" s="53"/>
      <x:c r="D12" s="44"/>
      <x:c r="E12" s="44"/>
      <x:c r="F12" s="34"/>
      <x:c r="G12" s="44"/>
      <x:c r="H12" s="44"/>
    </x:row>
    <x:row r="13" ht="23" customHeight="1">
      <x:c r="A13" s="53"/>
      <x:c r="B13" s="44"/>
      <x:c r="C13" s="53"/>
      <x:c r="D13" s="44"/>
      <x:c r="E13" s="44"/>
      <x:c r="F13" s="34"/>
      <x:c r="G13" s="44"/>
      <x:c r="H13" s="44"/>
    </x:row>
    <x:row r="14" ht="23" customHeight="1">
      <x:c r="A14" s="53"/>
      <x:c r="B14" s="44"/>
      <x:c r="C14" s="53"/>
      <x:c r="D14" s="44"/>
      <x:c r="E14" s="44"/>
      <x:c r="F14" s="34"/>
      <x:c r="G14" s="44"/>
      <x:c r="H14" s="44"/>
    </x:row>
    <x:row r="15" ht="23" customHeight="1">
      <x:c r="A15" s="53"/>
      <x:c r="B15" s="44"/>
      <x:c r="C15" s="53"/>
      <x:c r="D15" s="44"/>
      <x:c r="E15" s="44"/>
      <x:c r="F15" s="34"/>
      <x:c r="G15" s="44"/>
      <x:c r="H15" s="44"/>
    </x:row>
    <x:row r="16" ht="23" customHeight="1">
      <x:c r="A16" s="53"/>
      <x:c r="B16" s="44"/>
      <x:c r="C16" s="53"/>
      <x:c r="D16" s="44"/>
      <x:c r="E16" s="44"/>
      <x:c r="F16" s="34"/>
      <x:c r="G16" s="44"/>
      <x:c r="H16" s="44"/>
    </x:row>
    <x:row r="17" ht="23" customHeight="1">
      <x:c r="A17" s="53"/>
      <x:c r="B17" s="44"/>
      <x:c r="C17" s="53"/>
      <x:c r="D17" s="44"/>
      <x:c r="E17" s="44"/>
      <x:c r="F17" s="34"/>
      <x:c r="G17" s="44"/>
      <x:c r="H17" s="44"/>
    </x:row>
    <x:row r="18" ht="23" customHeight="1">
      <x:c r="A18" s="53"/>
      <x:c r="B18" s="44"/>
      <x:c r="C18" s="53"/>
      <x:c r="D18" s="44"/>
      <x:c r="E18" s="44"/>
      <x:c r="F18" s="34"/>
      <x:c r="G18" s="44"/>
      <x:c r="H18" s="44"/>
    </x:row>
    <x:row r="19" ht="23" customHeight="1">
      <x:c r="A19" s="53"/>
      <x:c r="B19" s="44"/>
      <x:c r="C19" s="53"/>
      <x:c r="D19" s="44"/>
      <x:c r="E19" s="44"/>
      <x:c r="F19" s="34"/>
      <x:c r="G19" s="44"/>
      <x:c r="H19" s="44"/>
    </x:row>
    <x:row r="20" ht="23" customHeight="1">
      <x:c r="A20" s="53"/>
      <x:c r="B20" s="44"/>
      <x:c r="C20" s="53"/>
      <x:c r="D20" s="44"/>
      <x:c r="E20" s="44"/>
      <x:c r="F20" s="34"/>
      <x:c r="G20" s="44"/>
      <x:c r="H20" s="44"/>
    </x:row>
    <x:row r="21" ht="23" customHeight="1">
      <x:c r="A21" s="53"/>
      <x:c r="B21" s="44"/>
      <x:c r="C21" s="53"/>
      <x:c r="D21" s="44"/>
      <x:c r="E21" s="44"/>
      <x:c r="F21" s="34"/>
      <x:c r="G21" s="44"/>
      <x:c r="H21" s="44"/>
    </x:row>
    <x:row r="22" ht="23" customHeight="1">
      <x:c r="A22" s="53"/>
      <x:c r="B22" s="44"/>
      <x:c r="C22" s="53"/>
      <x:c r="D22" s="44"/>
      <x:c r="E22" s="44"/>
      <x:c r="F22" s="34"/>
      <x:c r="G22" s="44"/>
      <x:c r="H22" s="44"/>
    </x:row>
    <x:row r="23" ht="23" customHeight="1">
      <x:c r="A23" s="53"/>
      <x:c r="B23" s="44"/>
      <x:c r="C23" s="53"/>
      <x:c r="D23" s="44"/>
      <x:c r="E23" s="44"/>
      <x:c r="F23" s="34"/>
      <x:c r="G23" s="44"/>
      <x:c r="H23" s="44"/>
    </x:row>
    <x:row r="24" ht="23" customHeight="1">
      <x:c r="A24" s="53"/>
      <x:c r="B24" s="44"/>
      <x:c r="C24" s="53"/>
      <x:c r="D24" s="44"/>
      <x:c r="E24" s="44"/>
      <x:c r="F24" s="34"/>
      <x:c r="G24" s="44"/>
      <x:c r="H24" s="44"/>
    </x:row>
    <x:row r="25" ht="23" customHeight="1">
      <x:c r="A25" s="54"/>
      <x:c r="B25" s="45"/>
      <x:c r="C25" s="54"/>
      <x:c r="D25" s="45"/>
      <x:c r="E25" s="45"/>
      <x:c r="F25" s="35"/>
      <x:c r="G25" s="45"/>
      <x:c r="H25" s="45"/>
    </x:row>
  </x:sheetData>
  <x:mergeCells>
    <x:mergeCell ref="A1:H1"/>
    <x:mergeCell ref="A2:H2"/>
  </x:mergeCells>
  <x:dataValidations count="2">
    <x:dataValidation type="list" sqref="F12:F25">
      <x:formula1>"是,否"</x:formula1>
    </x:dataValidation>
    <x:dataValidation type="list" sqref="F6:F11">
      <x:formula1>"是,否"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18" hidden="0" customWidth="1"/>
    <x:col min="5" max="5" width="14" hidden="0" customWidth="1"/>
    <x:col min="6" max="6" width="14" hidden="0" customWidth="1"/>
    <x:col min="7" max="7" width="22" hidden="0" customWidth="1"/>
    <x:col min="8" max="8" width="15" hidden="0" customWidth="1"/>
    <x:col min="9" max="9" width="18" hidden="0" customWidth="1"/>
    <x:col min="10" max="10" width="28" hidden="0" customWidth="1"/>
  </x:cols>
  <x:sheetData>
    <x:row r="1" ht="24" customHeight="1">
      <x:c r="A1" s="3" t="str">
        <x:v>样品测试结果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6" t="str">
        <x:v>一行代表一个样品的一项测试；同一样号可出现多行项目。“&lt;检出限”等写入结果原文，不转为0；数值结果可留空。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 ht="34" customHeight="1">
      <x:c r="A5" s="31" t="str">
        <x:v>样品编号</x:v>
      </x:c>
      <x:c r="B5" s="31" t="str">
        <x:v>项目代码</x:v>
      </x:c>
      <x:c r="C5" s="31" t="str">
        <x:v>结果原文</x:v>
      </x:c>
      <x:c r="D5" s="31" t="str">
        <x:v>数值结果（可空）</x:v>
      </x:c>
      <x:c r="E5" s="31" t="str">
        <x:v>单位</x:v>
      </x:c>
      <x:c r="F5" s="31" t="str">
        <x:v>检出限</x:v>
      </x:c>
      <x:c r="G5" s="31" t="str">
        <x:v>分析方法</x:v>
      </x:c>
      <x:c r="H5" s="31" t="str">
        <x:v>检测日期</x:v>
      </x:c>
      <x:c r="I5" s="31" t="str">
        <x:v>报告编号</x:v>
      </x:c>
      <x:c r="J5" s="31" t="str">
        <x:v>备注</x:v>
      </x:c>
    </x:row>
    <x:row r="6" ht="23" customHeight="1">
      <x:c r="A6" s="52" t="str">
        <x:v>SIM-S001</x:v>
      </x:c>
      <x:c r="B6" s="52" t="str">
        <x:v>Au</x:v>
      </x:c>
      <x:c r="C6" s="43" t="str">
        <x:v>&lt;0.005</x:v>
      </x:c>
      <x:c r="D6" s="43"/>
      <x:c r="E6" s="52" t="str">
        <x:v>mg/kg</x:v>
      </x:c>
      <x:c r="F6" s="43" t="n">
        <x:v>0.005</x:v>
      </x:c>
      <x:c r="G6" s="43" t="str">
        <x:v>模拟检测法-Au</x:v>
      </x:c>
      <x:c r="H6" s="61" t="n">
        <x:v>46298</x:v>
      </x:c>
      <x:c r="I6" s="52" t="str">
        <x:v>SIM-LAB-01</x:v>
      </x:c>
      <x:c r="J6" s="43" t="str">
        <x:v>人工模拟结果，无对应检测报告</x:v>
      </x:c>
    </x:row>
    <x:row r="7" ht="23" customHeight="1">
      <x:c r="A7" s="53" t="str">
        <x:v>SIM-S001</x:v>
      </x:c>
      <x:c r="B7" s="53" t="str">
        <x:v>Ag</x:v>
      </x:c>
      <x:c r="C7" s="44" t="str">
        <x:v>1.3</x:v>
      </x:c>
      <x:c r="D7" s="44" t="n">
        <x:v>1.3</x:v>
      </x:c>
      <x:c r="E7" s="53" t="str">
        <x:v>mg/kg</x:v>
      </x:c>
      <x:c r="F7" s="44" t="n">
        <x:v>0.1</x:v>
      </x:c>
      <x:c r="G7" s="44" t="str">
        <x:v>模拟检测法-Ag</x:v>
      </x:c>
      <x:c r="H7" s="62" t="n">
        <x:v>46298</x:v>
      </x:c>
      <x:c r="I7" s="53" t="str">
        <x:v>SIM-LAB-01</x:v>
      </x:c>
      <x:c r="J7" s="44" t="str">
        <x:v>人工模拟结果，无对应检测报告</x:v>
      </x:c>
    </x:row>
    <x:row r="8" ht="23" customHeight="1">
      <x:c r="A8" s="53" t="str">
        <x:v>SIM-S001</x:v>
      </x:c>
      <x:c r="B8" s="53" t="str">
        <x:v>Cu</x:v>
      </x:c>
      <x:c r="C8" s="44" t="str">
        <x:v>0</x:v>
      </x:c>
      <x:c r="D8" s="44" t="n">
        <x:v>0</x:v>
      </x:c>
      <x:c r="E8" s="53" t="str">
        <x:v>%</x:v>
      </x:c>
      <x:c r="F8" s="44" t="n">
        <x:v>0.001</x:v>
      </x:c>
      <x:c r="G8" s="44" t="str">
        <x:v>模拟检测法-Cu</x:v>
      </x:c>
      <x:c r="H8" s="62" t="n">
        <x:v>46298</x:v>
      </x:c>
      <x:c r="I8" s="53" t="str">
        <x:v>SIM-LAB-01</x:v>
      </x:c>
      <x:c r="J8" s="44" t="str">
        <x:v>人工模拟结果，无对应检测报告</x:v>
      </x:c>
    </x:row>
    <x:row r="9" ht="23" customHeight="1">
      <x:c r="A9" s="53" t="str">
        <x:v>SIM-S001</x:v>
      </x:c>
      <x:c r="B9" s="53" t="str">
        <x:v>Pb</x:v>
      </x:c>
      <x:c r="C9" s="44" t="str">
        <x:v>0.038</x:v>
      </x:c>
      <x:c r="D9" s="44" t="n">
        <x:v>0.038</x:v>
      </x:c>
      <x:c r="E9" s="53" t="str">
        <x:v>%</x:v>
      </x:c>
      <x:c r="F9" s="44" t="n">
        <x:v>0.001</x:v>
      </x:c>
      <x:c r="G9" s="44" t="str">
        <x:v>模拟检测法-Pb</x:v>
      </x:c>
      <x:c r="H9" s="62" t="n">
        <x:v>46298</x:v>
      </x:c>
      <x:c r="I9" s="53" t="str">
        <x:v>SIM-LAB-01</x:v>
      </x:c>
      <x:c r="J9" s="44" t="str">
        <x:v>人工模拟结果，无对应检测报告</x:v>
      </x:c>
    </x:row>
    <x:row r="10" ht="23" customHeight="1">
      <x:c r="A10" s="53" t="str">
        <x:v>SIM-S001</x:v>
      </x:c>
      <x:c r="B10" s="53" t="str">
        <x:v>Zn</x:v>
      </x:c>
      <x:c r="C10" s="44" t="str">
        <x:v>0.062</x:v>
      </x:c>
      <x:c r="D10" s="44" t="n">
        <x:v>0.062</x:v>
      </x:c>
      <x:c r="E10" s="53" t="str">
        <x:v>%</x:v>
      </x:c>
      <x:c r="F10" s="44" t="n">
        <x:v>0.001</x:v>
      </x:c>
      <x:c r="G10" s="44" t="str">
        <x:v>模拟检测法-Zn</x:v>
      </x:c>
      <x:c r="H10" s="62" t="n">
        <x:v>46298</x:v>
      </x:c>
      <x:c r="I10" s="53" t="str">
        <x:v>SIM-LAB-01</x:v>
      </x:c>
      <x:c r="J10" s="44" t="str">
        <x:v>人工模拟结果，无对应检测报告</x:v>
      </x:c>
    </x:row>
    <x:row r="11" ht="23" customHeight="1">
      <x:c r="A11" s="53" t="str">
        <x:v>SIM-S001</x:v>
      </x:c>
      <x:c r="B11" s="53" t="str">
        <x:v>As</x:v>
      </x:c>
      <x:c r="C11" s="44" t="str">
        <x:v>未检出</x:v>
      </x:c>
      <x:c r="D11" s="44"/>
      <x:c r="E11" s="53" t="str">
        <x:v>mg/kg</x:v>
      </x:c>
      <x:c r="F11" s="44" t="n">
        <x:v>1</x:v>
      </x:c>
      <x:c r="G11" s="44" t="str">
        <x:v>模拟检测法-As</x:v>
      </x:c>
      <x:c r="H11" s="62" t="n">
        <x:v>46298</x:v>
      </x:c>
      <x:c r="I11" s="53" t="str">
        <x:v>SIM-LAB-01</x:v>
      </x:c>
      <x:c r="J11" s="44" t="str">
        <x:v>人工模拟结果，无对应检测报告</x:v>
      </x:c>
    </x:row>
    <x:row r="12" ht="23" customHeight="1">
      <x:c r="A12" s="53" t="str">
        <x:v>SIM-S002</x:v>
      </x:c>
      <x:c r="B12" s="53" t="str">
        <x:v>Au</x:v>
      </x:c>
      <x:c r="C12" s="44" t="str">
        <x:v>0.058</x:v>
      </x:c>
      <x:c r="D12" s="44" t="n">
        <x:v>0.058</x:v>
      </x:c>
      <x:c r="E12" s="53" t="str">
        <x:v>mg/kg</x:v>
      </x:c>
      <x:c r="F12" s="44" t="n">
        <x:v>0.005</x:v>
      </x:c>
      <x:c r="G12" s="44" t="str">
        <x:v>模拟检测法-Au</x:v>
      </x:c>
      <x:c r="H12" s="62" t="n">
        <x:v>46298</x:v>
      </x:c>
      <x:c r="I12" s="53" t="str">
        <x:v>SIM-LAB-01</x:v>
      </x:c>
      <x:c r="J12" s="44" t="str">
        <x:v>人工模拟结果，无对应检测报告</x:v>
      </x:c>
    </x:row>
    <x:row r="13" ht="23" customHeight="1">
      <x:c r="A13" s="53" t="str">
        <x:v>SIM-S002</x:v>
      </x:c>
      <x:c r="B13" s="53" t="str">
        <x:v>Ag</x:v>
      </x:c>
      <x:c r="C13" s="44" t="str">
        <x:v>1.12</x:v>
      </x:c>
      <x:c r="D13" s="44" t="n">
        <x:v>1.12</x:v>
      </x:c>
      <x:c r="E13" s="53" t="str">
        <x:v>mg/kg</x:v>
      </x:c>
      <x:c r="F13" s="44" t="n">
        <x:v>0.1</x:v>
      </x:c>
      <x:c r="G13" s="44" t="str">
        <x:v>模拟检测法-Ag</x:v>
      </x:c>
      <x:c r="H13" s="62" t="n">
        <x:v>46298</x:v>
      </x:c>
      <x:c r="I13" s="53" t="str">
        <x:v>SIM-LAB-01</x:v>
      </x:c>
      <x:c r="J13" s="44" t="str">
        <x:v>人工模拟结果，无对应检测报告</x:v>
      </x:c>
    </x:row>
    <x:row r="14" ht="23" customHeight="1">
      <x:c r="A14" s="53" t="str">
        <x:v>SIM-S002</x:v>
      </x:c>
      <x:c r="B14" s="53" t="str">
        <x:v>Cu</x:v>
      </x:c>
      <x:c r="C14" s="44" t="str">
        <x:v>0.0122</x:v>
      </x:c>
      <x:c r="D14" s="44" t="n">
        <x:v>0.0122</x:v>
      </x:c>
      <x:c r="E14" s="53" t="str">
        <x:v>%</x:v>
      </x:c>
      <x:c r="F14" s="44" t="n">
        <x:v>0.001</x:v>
      </x:c>
      <x:c r="G14" s="44" t="str">
        <x:v>模拟检测法-Cu</x:v>
      </x:c>
      <x:c r="H14" s="62" t="n">
        <x:v>46298</x:v>
      </x:c>
      <x:c r="I14" s="53" t="str">
        <x:v>SIM-LAB-01</x:v>
      </x:c>
      <x:c r="J14" s="44" t="str">
        <x:v>人工模拟结果，无对应检测报告</x:v>
      </x:c>
    </x:row>
    <x:row r="15" ht="23" customHeight="1">
      <x:c r="A15" s="53" t="str">
        <x:v>SIM-S002</x:v>
      </x:c>
      <x:c r="B15" s="53" t="str">
        <x:v>Pb</x:v>
      </x:c>
      <x:c r="C15" s="44" t="str">
        <x:v>0.0378</x:v>
      </x:c>
      <x:c r="D15" s="44" t="n">
        <x:v>0.0378</x:v>
      </x:c>
      <x:c r="E15" s="53" t="str">
        <x:v>%</x:v>
      </x:c>
      <x:c r="F15" s="44" t="n">
        <x:v>0.001</x:v>
      </x:c>
      <x:c r="G15" s="44" t="str">
        <x:v>模拟检测法-Pb</x:v>
      </x:c>
      <x:c r="H15" s="62" t="n">
        <x:v>46298</x:v>
      </x:c>
      <x:c r="I15" s="53" t="str">
        <x:v>SIM-LAB-01</x:v>
      </x:c>
      <x:c r="J15" s="44" t="str">
        <x:v>人工模拟结果，无对应检测报告</x:v>
      </x:c>
    </x:row>
    <x:row r="16" ht="23" customHeight="1">
      <x:c r="A16" s="53" t="str">
        <x:v>SIM-S002</x:v>
      </x:c>
      <x:c r="B16" s="53" t="str">
        <x:v>Zn</x:v>
      </x:c>
      <x:c r="C16" s="44" t="str">
        <x:v>0.0733</x:v>
      </x:c>
      <x:c r="D16" s="44" t="n">
        <x:v>0.0733</x:v>
      </x:c>
      <x:c r="E16" s="53" t="str">
        <x:v>%</x:v>
      </x:c>
      <x:c r="F16" s="44" t="n">
        <x:v>0.001</x:v>
      </x:c>
      <x:c r="G16" s="44" t="str">
        <x:v>模拟检测法-Zn</x:v>
      </x:c>
      <x:c r="H16" s="62" t="n">
        <x:v>46298</x:v>
      </x:c>
      <x:c r="I16" s="53" t="str">
        <x:v>SIM-LAB-01</x:v>
      </x:c>
      <x:c r="J16" s="44" t="str">
        <x:v>人工模拟结果，无对应检测报告</x:v>
      </x:c>
    </x:row>
    <x:row r="17" ht="23" customHeight="1">
      <x:c r="A17" s="53" t="str">
        <x:v>SIM-S002</x:v>
      </x:c>
      <x:c r="B17" s="53" t="str">
        <x:v>As</x:v>
      </x:c>
      <x:c r="C17" s="44" t="str">
        <x:v>9.9</x:v>
      </x:c>
      <x:c r="D17" s="44" t="n">
        <x:v>9.9</x:v>
      </x:c>
      <x:c r="E17" s="53" t="str">
        <x:v>mg/kg</x:v>
      </x:c>
      <x:c r="F17" s="44" t="n">
        <x:v>1</x:v>
      </x:c>
      <x:c r="G17" s="44" t="str">
        <x:v>模拟检测法-As</x:v>
      </x:c>
      <x:c r="H17" s="62" t="n">
        <x:v>46298</x:v>
      </x:c>
      <x:c r="I17" s="53" t="str">
        <x:v>SIM-LAB-01</x:v>
      </x:c>
      <x:c r="J17" s="44" t="str">
        <x:v>人工模拟结果，无对应检测报告</x:v>
      </x:c>
    </x:row>
    <x:row r="18" ht="23" customHeight="1">
      <x:c r="A18" s="53" t="str">
        <x:v>SIM-S003</x:v>
      </x:c>
      <x:c r="B18" s="53" t="str">
        <x:v>Au</x:v>
      </x:c>
      <x:c r="C18" s="44" t="str">
        <x:v>0.059</x:v>
      </x:c>
      <x:c r="D18" s="44" t="n">
        <x:v>0.059</x:v>
      </x:c>
      <x:c r="E18" s="53" t="str">
        <x:v>mg/kg</x:v>
      </x:c>
      <x:c r="F18" s="44" t="n">
        <x:v>0.005</x:v>
      </x:c>
      <x:c r="G18" s="44" t="str">
        <x:v>模拟检测法-Au</x:v>
      </x:c>
      <x:c r="H18" s="62" t="n">
        <x:v>46298</x:v>
      </x:c>
      <x:c r="I18" s="53" t="str">
        <x:v>SIM-LAB-01</x:v>
      </x:c>
      <x:c r="J18" s="44" t="str">
        <x:v>人工模拟结果，无对应检测报告</x:v>
      </x:c>
    </x:row>
    <x:row r="19" ht="23" customHeight="1">
      <x:c r="A19" s="53" t="str">
        <x:v>SIM-S003</x:v>
      </x:c>
      <x:c r="B19" s="53" t="str">
        <x:v>Ag</x:v>
      </x:c>
      <x:c r="C19" s="44" t="str">
        <x:v>0.73</x:v>
      </x:c>
      <x:c r="D19" s="44" t="n">
        <x:v>0.73</x:v>
      </x:c>
      <x:c r="E19" s="53" t="str">
        <x:v>mg/kg</x:v>
      </x:c>
      <x:c r="F19" s="44" t="n">
        <x:v>0.1</x:v>
      </x:c>
      <x:c r="G19" s="44" t="str">
        <x:v>模拟检测法-Ag</x:v>
      </x:c>
      <x:c r="H19" s="62" t="n">
        <x:v>46298</x:v>
      </x:c>
      <x:c r="I19" s="53" t="str">
        <x:v>SIM-LAB-01</x:v>
      </x:c>
      <x:c r="J19" s="44" t="str">
        <x:v>人工模拟结果，无对应检测报告</x:v>
      </x:c>
    </x:row>
    <x:row r="20" ht="23" customHeight="1">
      <x:c r="A20" s="53" t="str">
        <x:v>SIM-S003</x:v>
      </x:c>
      <x:c r="B20" s="53" t="str">
        <x:v>Cu</x:v>
      </x:c>
      <x:c r="C20" s="44" t="str">
        <x:v>0.0132</x:v>
      </x:c>
      <x:c r="D20" s="44" t="n">
        <x:v>0.0132</x:v>
      </x:c>
      <x:c r="E20" s="53" t="str">
        <x:v>%</x:v>
      </x:c>
      <x:c r="F20" s="44" t="n">
        <x:v>0.001</x:v>
      </x:c>
      <x:c r="G20" s="44" t="str">
        <x:v>模拟检测法-Cu</x:v>
      </x:c>
      <x:c r="H20" s="62" t="n">
        <x:v>46298</x:v>
      </x:c>
      <x:c r="I20" s="53" t="str">
        <x:v>SIM-LAB-01</x:v>
      </x:c>
      <x:c r="J20" s="44" t="str">
        <x:v>人工模拟结果，无对应检测报告</x:v>
      </x:c>
    </x:row>
    <x:row r="21" ht="23" customHeight="1">
      <x:c r="A21" s="53" t="str">
        <x:v>SIM-S003</x:v>
      </x:c>
      <x:c r="B21" s="53" t="str">
        <x:v>Pb</x:v>
      </x:c>
      <x:c r="C21" s="44" t="str">
        <x:v>0.0372</x:v>
      </x:c>
      <x:c r="D21" s="44" t="n">
        <x:v>0.0372</x:v>
      </x:c>
      <x:c r="E21" s="53" t="str">
        <x:v>%</x:v>
      </x:c>
      <x:c r="F21" s="44" t="n">
        <x:v>0.001</x:v>
      </x:c>
      <x:c r="G21" s="44" t="str">
        <x:v>模拟检测法-Pb</x:v>
      </x:c>
      <x:c r="H21" s="62" t="n">
        <x:v>46298</x:v>
      </x:c>
      <x:c r="I21" s="53" t="str">
        <x:v>SIM-LAB-01</x:v>
      </x:c>
      <x:c r="J21" s="44" t="str">
        <x:v>人工模拟结果，无对应检测报告</x:v>
      </x:c>
    </x:row>
    <x:row r="22" ht="23" customHeight="1">
      <x:c r="A22" s="53" t="str">
        <x:v>SIM-S003</x:v>
      </x:c>
      <x:c r="B22" s="53" t="str">
        <x:v>Zn</x:v>
      </x:c>
      <x:c r="C22" s="44" t="str">
        <x:v>0.0806</x:v>
      </x:c>
      <x:c r="D22" s="44" t="n">
        <x:v>0.0806</x:v>
      </x:c>
      <x:c r="E22" s="53" t="str">
        <x:v>%</x:v>
      </x:c>
      <x:c r="F22" s="44" t="n">
        <x:v>0.001</x:v>
      </x:c>
      <x:c r="G22" s="44" t="str">
        <x:v>模拟检测法-Zn</x:v>
      </x:c>
      <x:c r="H22" s="62" t="n">
        <x:v>46298</x:v>
      </x:c>
      <x:c r="I22" s="53" t="str">
        <x:v>SIM-LAB-01</x:v>
      </x:c>
      <x:c r="J22" s="44" t="str">
        <x:v>人工模拟结果，无对应检测报告</x:v>
      </x:c>
    </x:row>
    <x:row r="23" ht="23" customHeight="1">
      <x:c r="A23" s="53" t="str">
        <x:v>SIM-S003</x:v>
      </x:c>
      <x:c r="B23" s="53" t="str">
        <x:v>As</x:v>
      </x:c>
      <x:c r="C23" s="44" t="str">
        <x:v>9.5</x:v>
      </x:c>
      <x:c r="D23" s="44" t="n">
        <x:v>9.5</x:v>
      </x:c>
      <x:c r="E23" s="53" t="str">
        <x:v>mg/kg</x:v>
      </x:c>
      <x:c r="F23" s="44" t="n">
        <x:v>1</x:v>
      </x:c>
      <x:c r="G23" s="44" t="str">
        <x:v>模拟检测法-As</x:v>
      </x:c>
      <x:c r="H23" s="62" t="n">
        <x:v>46298</x:v>
      </x:c>
      <x:c r="I23" s="53" t="str">
        <x:v>SIM-LAB-01</x:v>
      </x:c>
      <x:c r="J23" s="44" t="str">
        <x:v>人工模拟结果，无对应检测报告</x:v>
      </x:c>
    </x:row>
    <x:row r="24" ht="23" customHeight="1">
      <x:c r="A24" s="53" t="str">
        <x:v>SIM-S004</x:v>
      </x:c>
      <x:c r="B24" s="53" t="str">
        <x:v>Au</x:v>
      </x:c>
      <x:c r="C24" s="44" t="str">
        <x:v>0.046</x:v>
      </x:c>
      <x:c r="D24" s="44" t="n">
        <x:v>0.046</x:v>
      </x:c>
      <x:c r="E24" s="53" t="str">
        <x:v>mg/kg</x:v>
      </x:c>
      <x:c r="F24" s="44" t="n">
        <x:v>0.005</x:v>
      </x:c>
      <x:c r="G24" s="44" t="str">
        <x:v>模拟检测法-Au</x:v>
      </x:c>
      <x:c r="H24" s="62" t="n">
        <x:v>46298</x:v>
      </x:c>
      <x:c r="I24" s="53" t="str">
        <x:v>SIM-LAB-01</x:v>
      </x:c>
      <x:c r="J24" s="44" t="str">
        <x:v>人工模拟结果，无对应检测报告</x:v>
      </x:c>
    </x:row>
    <x:row r="25" ht="23" customHeight="1">
      <x:c r="A25" s="54" t="str">
        <x:v>SIM-S004</x:v>
      </x:c>
      <x:c r="B25" s="54" t="str">
        <x:v>Ag</x:v>
      </x:c>
      <x:c r="C25" s="45" t="str">
        <x:v>0.5</x:v>
      </x:c>
      <x:c r="D25" s="45" t="n">
        <x:v>0.5</x:v>
      </x:c>
      <x:c r="E25" s="54" t="str">
        <x:v>mg/kg</x:v>
      </x:c>
      <x:c r="F25" s="45" t="n">
        <x:v>0.1</x:v>
      </x:c>
      <x:c r="G25" s="45" t="str">
        <x:v>模拟检测法-Ag</x:v>
      </x:c>
      <x:c r="H25" s="63" t="n">
        <x:v>46298</x:v>
      </x:c>
      <x:c r="I25" s="54" t="str">
        <x:v>SIM-LAB-01</x:v>
      </x:c>
      <x:c r="J25" s="45" t="str">
        <x:v>人工模拟结果，无对应检测报告</x:v>
      </x:c>
    </x:row>
    <x:row r="26">
      <x:c r="A26" s="54" t="str">
        <x:v>SIM-S004</x:v>
      </x:c>
      <x:c r="B26" s="54" t="str">
        <x:v>Cu</x:v>
      </x:c>
      <x:c r="C26" s="45" t="str">
        <x:v>0.0138</x:v>
      </x:c>
      <x:c r="D26" s="45" t="n">
        <x:v>0.0138</x:v>
      </x:c>
      <x:c r="E26" s="54" t="str">
        <x:v>%</x:v>
      </x:c>
      <x:c r="F26" s="45" t="n">
        <x:v>0.001</x:v>
      </x:c>
      <x:c r="G26" s="45" t="str">
        <x:v>模拟检测法-Cu</x:v>
      </x:c>
      <x:c r="H26" s="63" t="n">
        <x:v>46298</x:v>
      </x:c>
      <x:c r="I26" s="54" t="str">
        <x:v>SIM-LAB-01</x:v>
      </x:c>
      <x:c r="J26" s="45" t="str">
        <x:v>人工模拟结果，无对应检测报告</x:v>
      </x:c>
    </x:row>
    <x:row r="27">
      <x:c r="A27" s="54" t="str">
        <x:v>SIM-S004</x:v>
      </x:c>
      <x:c r="B27" s="54" t="str">
        <x:v>Pb</x:v>
      </x:c>
      <x:c r="C27" s="45" t="str">
        <x:v>0.0363</x:v>
      </x:c>
      <x:c r="D27" s="45" t="n">
        <x:v>0.0363</x:v>
      </x:c>
      <x:c r="E27" s="54" t="str">
        <x:v>%</x:v>
      </x:c>
      <x:c r="F27" s="45" t="n">
        <x:v>0.001</x:v>
      </x:c>
      <x:c r="G27" s="45" t="str">
        <x:v>模拟检测法-Pb</x:v>
      </x:c>
      <x:c r="H27" s="63" t="n">
        <x:v>46298</x:v>
      </x:c>
      <x:c r="I27" s="54" t="str">
        <x:v>SIM-LAB-01</x:v>
      </x:c>
      <x:c r="J27" s="45" t="str">
        <x:v>人工模拟结果，无对应检测报告</x:v>
      </x:c>
    </x:row>
    <x:row r="28">
      <x:c r="A28" s="54" t="str">
        <x:v>SIM-S004</x:v>
      </x:c>
      <x:c r="B28" s="54" t="str">
        <x:v>Zn</x:v>
      </x:c>
      <x:c r="C28" s="45" t="str">
        <x:v>0.0815</x:v>
      </x:c>
      <x:c r="D28" s="45" t="n">
        <x:v>0.0815</x:v>
      </x:c>
      <x:c r="E28" s="54" t="str">
        <x:v>%</x:v>
      </x:c>
      <x:c r="F28" s="45" t="n">
        <x:v>0.001</x:v>
      </x:c>
      <x:c r="G28" s="45" t="str">
        <x:v>模拟检测法-Zn</x:v>
      </x:c>
      <x:c r="H28" s="63" t="n">
        <x:v>46298</x:v>
      </x:c>
      <x:c r="I28" s="54" t="str">
        <x:v>SIM-LAB-01</x:v>
      </x:c>
      <x:c r="J28" s="45" t="str">
        <x:v>人工模拟结果，无对应检测报告</x:v>
      </x:c>
    </x:row>
    <x:row r="29">
      <x:c r="A29" s="54" t="str">
        <x:v>SIM-S004</x:v>
      </x:c>
      <x:c r="B29" s="54" t="str">
        <x:v>As</x:v>
      </x:c>
      <x:c r="C29" s="45" t="str">
        <x:v>8.9</x:v>
      </x:c>
      <x:c r="D29" s="45" t="n">
        <x:v>8.9</x:v>
      </x:c>
      <x:c r="E29" s="54" t="str">
        <x:v>mg/kg</x:v>
      </x:c>
      <x:c r="F29" s="45" t="n">
        <x:v>1</x:v>
      </x:c>
      <x:c r="G29" s="45" t="str">
        <x:v>模拟检测法-As</x:v>
      </x:c>
      <x:c r="H29" s="63" t="n">
        <x:v>46298</x:v>
      </x:c>
      <x:c r="I29" s="54" t="str">
        <x:v>SIM-LAB-01</x:v>
      </x:c>
      <x:c r="J29" s="45" t="str">
        <x:v>人工模拟结果，无对应检测报告</x:v>
      </x:c>
    </x:row>
    <x:row r="30">
      <x:c r="A30" s="54" t="str">
        <x:v>SIM-S005</x:v>
      </x:c>
      <x:c r="B30" s="54" t="str">
        <x:v>Au</x:v>
      </x:c>
      <x:c r="C30" s="45" t="str">
        <x:v>0.029</x:v>
      </x:c>
      <x:c r="D30" s="45" t="n">
        <x:v>0.029</x:v>
      </x:c>
      <x:c r="E30" s="54" t="str">
        <x:v>mg/kg</x:v>
      </x:c>
      <x:c r="F30" s="45" t="n">
        <x:v>0.005</x:v>
      </x:c>
      <x:c r="G30" s="45" t="str">
        <x:v>模拟检测法-Au</x:v>
      </x:c>
      <x:c r="H30" s="63" t="n">
        <x:v>46298</x:v>
      </x:c>
      <x:c r="I30" s="54" t="str">
        <x:v>SIM-LAB-01</x:v>
      </x:c>
      <x:c r="J30" s="45" t="str">
        <x:v>人工模拟结果，无对应检测报告</x:v>
      </x:c>
    </x:row>
    <x:row r="31">
      <x:c r="A31" s="54" t="str">
        <x:v>SIM-S005</x:v>
      </x:c>
      <x:c r="B31" s="54" t="str">
        <x:v>Ag</x:v>
      </x:c>
      <x:c r="C31" s="45" t="str">
        <x:v>0.64</x:v>
      </x:c>
      <x:c r="D31" s="45" t="n">
        <x:v>0.64</x:v>
      </x:c>
      <x:c r="E31" s="54" t="str">
        <x:v>mg/kg</x:v>
      </x:c>
      <x:c r="F31" s="45" t="n">
        <x:v>0.1</x:v>
      </x:c>
      <x:c r="G31" s="45" t="str">
        <x:v>模拟检测法-Ag</x:v>
      </x:c>
      <x:c r="H31" s="63" t="n">
        <x:v>46298</x:v>
      </x:c>
      <x:c r="I31" s="54" t="str">
        <x:v>SIM-LAB-01</x:v>
      </x:c>
      <x:c r="J31" s="45" t="str">
        <x:v>人工模拟结果，无对应检测报告</x:v>
      </x:c>
    </x:row>
    <x:row r="32">
      <x:c r="A32" s="54" t="str">
        <x:v>SIM-S005</x:v>
      </x:c>
      <x:c r="B32" s="54" t="str">
        <x:v>Cu</x:v>
      </x:c>
      <x:c r="C32" s="45" t="str">
        <x:v>0.014</x:v>
      </x:c>
      <x:c r="D32" s="45" t="n">
        <x:v>0.014</x:v>
      </x:c>
      <x:c r="E32" s="54" t="str">
        <x:v>%</x:v>
      </x:c>
      <x:c r="F32" s="45" t="n">
        <x:v>0.001</x:v>
      </x:c>
      <x:c r="G32" s="45" t="str">
        <x:v>模拟检测法-Cu</x:v>
      </x:c>
      <x:c r="H32" s="63" t="n">
        <x:v>46298</x:v>
      </x:c>
      <x:c r="I32" s="54" t="str">
        <x:v>SIM-LAB-01</x:v>
      </x:c>
      <x:c r="J32" s="45" t="str">
        <x:v>人工模拟结果，无对应检测报告</x:v>
      </x:c>
    </x:row>
    <x:row r="33">
      <x:c r="A33" s="54" t="str">
        <x:v>SIM-S005</x:v>
      </x:c>
      <x:c r="B33" s="54" t="str">
        <x:v>Pb</x:v>
      </x:c>
      <x:c r="C33" s="45" t="str">
        <x:v>0.035</x:v>
      </x:c>
      <x:c r="D33" s="45" t="n">
        <x:v>0.035</x:v>
      </x:c>
      <x:c r="E33" s="54" t="str">
        <x:v>%</x:v>
      </x:c>
      <x:c r="F33" s="45" t="n">
        <x:v>0.001</x:v>
      </x:c>
      <x:c r="G33" s="45" t="str">
        <x:v>模拟检测法-Pb</x:v>
      </x:c>
      <x:c r="H33" s="63" t="n">
        <x:v>46298</x:v>
      </x:c>
      <x:c r="I33" s="54" t="str">
        <x:v>SIM-LAB-01</x:v>
      </x:c>
      <x:c r="J33" s="45" t="str">
        <x:v>人工模拟结果，无对应检测报告</x:v>
      </x:c>
    </x:row>
    <x:row r="34">
      <x:c r="A34" s="54" t="str">
        <x:v>SIM-S005</x:v>
      </x:c>
      <x:c r="B34" s="54" t="str">
        <x:v>Zn</x:v>
      </x:c>
      <x:c r="C34" s="45" t="str">
        <x:v>0.0755</x:v>
      </x:c>
      <x:c r="D34" s="45" t="n">
        <x:v>0.0755</x:v>
      </x:c>
      <x:c r="E34" s="54" t="str">
        <x:v>%</x:v>
      </x:c>
      <x:c r="F34" s="45" t="n">
        <x:v>0.001</x:v>
      </x:c>
      <x:c r="G34" s="45" t="str">
        <x:v>模拟检测法-Zn</x:v>
      </x:c>
      <x:c r="H34" s="63" t="n">
        <x:v>46298</x:v>
      </x:c>
      <x:c r="I34" s="54" t="str">
        <x:v>SIM-LAB-01</x:v>
      </x:c>
      <x:c r="J34" s="45" t="str">
        <x:v>人工模拟结果，无对应检测报告</x:v>
      </x:c>
    </x:row>
    <x:row r="35">
      <x:c r="A35" s="54" t="str">
        <x:v>SIM-S005</x:v>
      </x:c>
      <x:c r="B35" s="54" t="str">
        <x:v>As</x:v>
      </x:c>
      <x:c r="C35" s="45" t="str">
        <x:v>8.1</x:v>
      </x:c>
      <x:c r="D35" s="45" t="n">
        <x:v>8.1</x:v>
      </x:c>
      <x:c r="E35" s="54" t="str">
        <x:v>mg/kg</x:v>
      </x:c>
      <x:c r="F35" s="45" t="n">
        <x:v>1</x:v>
      </x:c>
      <x:c r="G35" s="45" t="str">
        <x:v>模拟检测法-As</x:v>
      </x:c>
      <x:c r="H35" s="63" t="n">
        <x:v>46298</x:v>
      </x:c>
      <x:c r="I35" s="54" t="str">
        <x:v>SIM-LAB-01</x:v>
      </x:c>
      <x:c r="J35" s="45" t="str">
        <x:v>人工模拟结果，无对应检测报告</x:v>
      </x:c>
    </x:row>
    <x:row r="36">
      <x:c r="A36" s="54" t="str">
        <x:v>SIM-S006</x:v>
      </x:c>
      <x:c r="B36" s="54" t="str">
        <x:v>Au</x:v>
      </x:c>
      <x:c r="C36" s="45" t="str">
        <x:v>0.026</x:v>
      </x:c>
      <x:c r="D36" s="45" t="n">
        <x:v>0.026</x:v>
      </x:c>
      <x:c r="E36" s="54" t="str">
        <x:v>mg/kg</x:v>
      </x:c>
      <x:c r="F36" s="45" t="n">
        <x:v>0.005</x:v>
      </x:c>
      <x:c r="G36" s="45" t="str">
        <x:v>模拟检测法-Au</x:v>
      </x:c>
      <x:c r="H36" s="63" t="n">
        <x:v>46298</x:v>
      </x:c>
      <x:c r="I36" s="54" t="str">
        <x:v>SIM-LAB-01</x:v>
      </x:c>
      <x:c r="J36" s="45" t="str">
        <x:v>人工模拟结果，无对应检测报告</x:v>
      </x:c>
    </x:row>
    <x:row r="37">
      <x:c r="A37" s="54" t="str">
        <x:v>SIM-S006</x:v>
      </x:c>
      <x:c r="B37" s="54" t="str">
        <x:v>Ag</x:v>
      </x:c>
      <x:c r="C37" s="45" t="str">
        <x:v>1.01</x:v>
      </x:c>
      <x:c r="D37" s="45" t="n">
        <x:v>1.01</x:v>
      </x:c>
      <x:c r="E37" s="54" t="str">
        <x:v>mg/kg</x:v>
      </x:c>
      <x:c r="F37" s="45" t="n">
        <x:v>0.1</x:v>
      </x:c>
      <x:c r="G37" s="45" t="str">
        <x:v>模拟检测法-Ag</x:v>
      </x:c>
      <x:c r="H37" s="63" t="n">
        <x:v>46298</x:v>
      </x:c>
      <x:c r="I37" s="54" t="str">
        <x:v>SIM-LAB-01</x:v>
      </x:c>
      <x:c r="J37" s="45" t="str">
        <x:v>人工模拟结果，无对应检测报告</x:v>
      </x:c>
    </x:row>
    <x:row r="38">
      <x:c r="A38" s="54" t="str">
        <x:v>SIM-S006</x:v>
      </x:c>
      <x:c r="B38" s="54" t="str">
        <x:v>Cu</x:v>
      </x:c>
      <x:c r="C38" s="45" t="str">
        <x:v>0.0137</x:v>
      </x:c>
      <x:c r="D38" s="45" t="n">
        <x:v>0.0137</x:v>
      </x:c>
      <x:c r="E38" s="54" t="str">
        <x:v>%</x:v>
      </x:c>
      <x:c r="F38" s="45" t="n">
        <x:v>0.001</x:v>
      </x:c>
      <x:c r="G38" s="45" t="str">
        <x:v>模拟检测法-Cu</x:v>
      </x:c>
      <x:c r="H38" s="63" t="n">
        <x:v>46298</x:v>
      </x:c>
      <x:c r="I38" s="54" t="str">
        <x:v>SIM-LAB-01</x:v>
      </x:c>
      <x:c r="J38" s="45" t="str">
        <x:v>人工模拟结果，无对应检测报告</x:v>
      </x:c>
    </x:row>
    <x:row r="39">
      <x:c r="A39" s="54" t="str">
        <x:v>SIM-S006</x:v>
      </x:c>
      <x:c r="B39" s="54" t="str">
        <x:v>Pb</x:v>
      </x:c>
      <x:c r="C39" s="45" t="str">
        <x:v>0.0334</x:v>
      </x:c>
      <x:c r="D39" s="45" t="n">
        <x:v>0.0334</x:v>
      </x:c>
      <x:c r="E39" s="54" t="str">
        <x:v>%</x:v>
      </x:c>
      <x:c r="F39" s="45" t="n">
        <x:v>0.001</x:v>
      </x:c>
      <x:c r="G39" s="45" t="str">
        <x:v>模拟检测法-Pb</x:v>
      </x:c>
      <x:c r="H39" s="63" t="n">
        <x:v>46298</x:v>
      </x:c>
      <x:c r="I39" s="54" t="str">
        <x:v>SIM-LAB-01</x:v>
      </x:c>
      <x:c r="J39" s="45" t="str">
        <x:v>人工模拟结果，无对应检测报告</x:v>
      </x:c>
    </x:row>
    <x:row r="40">
      <x:c r="A40" s="54" t="str">
        <x:v>SIM-S006</x:v>
      </x:c>
      <x:c r="B40" s="54" t="str">
        <x:v>Zn</x:v>
      </x:c>
      <x:c r="C40" s="45" t="str">
        <x:v>0.0648</x:v>
      </x:c>
      <x:c r="D40" s="45" t="n">
        <x:v>0.0648</x:v>
      </x:c>
      <x:c r="E40" s="54" t="str">
        <x:v>%</x:v>
      </x:c>
      <x:c r="F40" s="45" t="n">
        <x:v>0.001</x:v>
      </x:c>
      <x:c r="G40" s="45" t="str">
        <x:v>模拟检测法-Zn</x:v>
      </x:c>
      <x:c r="H40" s="63" t="n">
        <x:v>46298</x:v>
      </x:c>
      <x:c r="I40" s="54" t="str">
        <x:v>SIM-LAB-01</x:v>
      </x:c>
      <x:c r="J40" s="45" t="str">
        <x:v>人工模拟结果，无对应检测报告</x:v>
      </x:c>
    </x:row>
    <x:row r="41">
      <x:c r="A41" s="54" t="str">
        <x:v>SIM-S006</x:v>
      </x:c>
      <x:c r="B41" s="54" t="str">
        <x:v>As</x:v>
      </x:c>
      <x:c r="C41" s="45" t="str">
        <x:v>7.2</x:v>
      </x:c>
      <x:c r="D41" s="45" t="n">
        <x:v>7.2</x:v>
      </x:c>
      <x:c r="E41" s="54" t="str">
        <x:v>mg/kg</x:v>
      </x:c>
      <x:c r="F41" s="45" t="n">
        <x:v>1</x:v>
      </x:c>
      <x:c r="G41" s="45" t="str">
        <x:v>模拟检测法-As</x:v>
      </x:c>
      <x:c r="H41" s="63" t="n">
        <x:v>46298</x:v>
      </x:c>
      <x:c r="I41" s="54" t="str">
        <x:v>SIM-LAB-01</x:v>
      </x:c>
      <x:c r="J41" s="45" t="str">
        <x:v>人工模拟结果，无对应检测报告</x:v>
      </x:c>
    </x:row>
    <x:row r="42">
      <x:c r="A42" s="54" t="str">
        <x:v>SIM-S007</x:v>
      </x:c>
      <x:c r="B42" s="54" t="str">
        <x:v>Au</x:v>
      </x:c>
      <x:c r="C42" s="45" t="str">
        <x:v>0.038</x:v>
      </x:c>
      <x:c r="D42" s="45" t="n">
        <x:v>0.038</x:v>
      </x:c>
      <x:c r="E42" s="54" t="str">
        <x:v>mg/kg</x:v>
      </x:c>
      <x:c r="F42" s="45" t="n">
        <x:v>0.005</x:v>
      </x:c>
      <x:c r="G42" s="45" t="str">
        <x:v>模拟检测法-Au</x:v>
      </x:c>
      <x:c r="H42" s="63" t="n">
        <x:v>46298</x:v>
      </x:c>
      <x:c r="I42" s="54" t="str">
        <x:v>SIM-LAB-01</x:v>
      </x:c>
      <x:c r="J42" s="45" t="str">
        <x:v>人工模拟结果，无对应检测报告</x:v>
      </x:c>
    </x:row>
    <x:row r="43">
      <x:c r="A43" s="54" t="str">
        <x:v>SIM-S007</x:v>
      </x:c>
      <x:c r="B43" s="54" t="str">
        <x:v>Ag</x:v>
      </x:c>
      <x:c r="C43" s="45" t="str">
        <x:v>1.28</x:v>
      </x:c>
      <x:c r="D43" s="45" t="n">
        <x:v>1.28</x:v>
      </x:c>
      <x:c r="E43" s="54" t="str">
        <x:v>mg/kg</x:v>
      </x:c>
      <x:c r="F43" s="45" t="n">
        <x:v>0.1</x:v>
      </x:c>
      <x:c r="G43" s="45" t="str">
        <x:v>模拟检测法-Ag</x:v>
      </x:c>
      <x:c r="H43" s="63" t="n">
        <x:v>46298</x:v>
      </x:c>
      <x:c r="I43" s="54" t="str">
        <x:v>SIM-LAB-01</x:v>
      </x:c>
      <x:c r="J43" s="45" t="str">
        <x:v>人工模拟结果，无对应检测报告</x:v>
      </x:c>
    </x:row>
    <x:row r="44">
      <x:c r="A44" s="54" t="str">
        <x:v>SIM-S007</x:v>
      </x:c>
      <x:c r="B44" s="54" t="str">
        <x:v>Cu</x:v>
      </x:c>
      <x:c r="C44" s="45" t="str">
        <x:v>0.013</x:v>
      </x:c>
      <x:c r="D44" s="45" t="n">
        <x:v>0.013</x:v>
      </x:c>
      <x:c r="E44" s="54" t="str">
        <x:v>%</x:v>
      </x:c>
      <x:c r="F44" s="45" t="n">
        <x:v>0.001</x:v>
      </x:c>
      <x:c r="G44" s="45" t="str">
        <x:v>模拟检测法-Cu</x:v>
      </x:c>
      <x:c r="H44" s="63" t="n">
        <x:v>46298</x:v>
      </x:c>
      <x:c r="I44" s="54" t="str">
        <x:v>SIM-LAB-01</x:v>
      </x:c>
      <x:c r="J44" s="45" t="str">
        <x:v>人工模拟结果，无对应检测报告</x:v>
      </x:c>
    </x:row>
    <x:row r="45">
      <x:c r="A45" s="54" t="str">
        <x:v>SIM-S007</x:v>
      </x:c>
      <x:c r="B45" s="54" t="str">
        <x:v>Pb</x:v>
      </x:c>
      <x:c r="C45" s="45" t="str">
        <x:v>0.0316</x:v>
      </x:c>
      <x:c r="D45" s="45" t="n">
        <x:v>0.0316</x:v>
      </x:c>
      <x:c r="E45" s="54" t="str">
        <x:v>%</x:v>
      </x:c>
      <x:c r="F45" s="45" t="n">
        <x:v>0.001</x:v>
      </x:c>
      <x:c r="G45" s="45" t="str">
        <x:v>模拟检测法-Pb</x:v>
      </x:c>
      <x:c r="H45" s="63" t="n">
        <x:v>46298</x:v>
      </x:c>
      <x:c r="I45" s="54" t="str">
        <x:v>SIM-LAB-01</x:v>
      </x:c>
      <x:c r="J45" s="45" t="str">
        <x:v>人工模拟结果，无对应检测报告</x:v>
      </x:c>
    </x:row>
    <x:row r="46">
      <x:c r="A46" s="54" t="str">
        <x:v>SIM-S007</x:v>
      </x:c>
      <x:c r="B46" s="54" t="str">
        <x:v>Zn</x:v>
      </x:c>
      <x:c r="C46" s="45" t="str">
        <x:v>0.0532</x:v>
      </x:c>
      <x:c r="D46" s="45" t="n">
        <x:v>0.0532</x:v>
      </x:c>
      <x:c r="E46" s="54" t="str">
        <x:v>%</x:v>
      </x:c>
      <x:c r="F46" s="45" t="n">
        <x:v>0.001</x:v>
      </x:c>
      <x:c r="G46" s="45" t="str">
        <x:v>模拟检测法-Zn</x:v>
      </x:c>
      <x:c r="H46" s="63" t="n">
        <x:v>46298</x:v>
      </x:c>
      <x:c r="I46" s="54" t="str">
        <x:v>SIM-LAB-01</x:v>
      </x:c>
      <x:c r="J46" s="45" t="str">
        <x:v>人工模拟结果，无对应检测报告</x:v>
      </x:c>
    </x:row>
    <x:row r="47">
      <x:c r="A47" s="54" t="str">
        <x:v>SIM-S007</x:v>
      </x:c>
      <x:c r="B47" s="54" t="str">
        <x:v>As</x:v>
      </x:c>
      <x:c r="C47" s="45" t="str">
        <x:v>6.3</x:v>
      </x:c>
      <x:c r="D47" s="45" t="n">
        <x:v>6.3</x:v>
      </x:c>
      <x:c r="E47" s="54" t="str">
        <x:v>mg/kg</x:v>
      </x:c>
      <x:c r="F47" s="45" t="n">
        <x:v>1</x:v>
      </x:c>
      <x:c r="G47" s="45" t="str">
        <x:v>模拟检测法-As</x:v>
      </x:c>
      <x:c r="H47" s="63" t="n">
        <x:v>46298</x:v>
      </x:c>
      <x:c r="I47" s="54" t="str">
        <x:v>SIM-LAB-01</x:v>
      </x:c>
      <x:c r="J47" s="45" t="str">
        <x:v>人工模拟结果，无对应检测报告</x:v>
      </x:c>
    </x:row>
    <x:row r="48">
      <x:c r="A48" s="54" t="str">
        <x:v>SIM-S008</x:v>
      </x:c>
      <x:c r="B48" s="54" t="str">
        <x:v>Au</x:v>
      </x:c>
      <x:c r="C48" s="45" t="str">
        <x:v>0.055</x:v>
      </x:c>
      <x:c r="D48" s="45" t="n">
        <x:v>0.055</x:v>
      </x:c>
      <x:c r="E48" s="54" t="str">
        <x:v>mg/kg</x:v>
      </x:c>
      <x:c r="F48" s="45" t="n">
        <x:v>0.005</x:v>
      </x:c>
      <x:c r="G48" s="45" t="str">
        <x:v>模拟检测法-Au</x:v>
      </x:c>
      <x:c r="H48" s="63" t="n">
        <x:v>46298</x:v>
      </x:c>
      <x:c r="I48" s="54" t="str">
        <x:v>SIM-LAB-01</x:v>
      </x:c>
      <x:c r="J48" s="45" t="str">
        <x:v>人工模拟结果，无对应检测报告</x:v>
      </x:c>
    </x:row>
    <x:row r="49">
      <x:c r="A49" s="54" t="str">
        <x:v>SIM-S008</x:v>
      </x:c>
      <x:c r="B49" s="54" t="str">
        <x:v>Ag</x:v>
      </x:c>
      <x:c r="C49" s="45" t="str">
        <x:v>1.2</x:v>
      </x:c>
      <x:c r="D49" s="45" t="n">
        <x:v>1.2</x:v>
      </x:c>
      <x:c r="E49" s="54" t="str">
        <x:v>mg/kg</x:v>
      </x:c>
      <x:c r="F49" s="45" t="n">
        <x:v>0.1</x:v>
      </x:c>
      <x:c r="G49" s="45" t="str">
        <x:v>模拟检测法-Ag</x:v>
      </x:c>
      <x:c r="H49" s="63" t="n">
        <x:v>46298</x:v>
      </x:c>
      <x:c r="I49" s="54" t="str">
        <x:v>SIM-LAB-01</x:v>
      </x:c>
      <x:c r="J49" s="45" t="str">
        <x:v>人工模拟结果，无对应检测报告</x:v>
      </x:c>
    </x:row>
    <x:row r="50">
      <x:c r="A50" s="54" t="str">
        <x:v>SIM-S008</x:v>
      </x:c>
      <x:c r="B50" s="54" t="str">
        <x:v>Cu</x:v>
      </x:c>
      <x:c r="C50" s="45" t="str">
        <x:v>0.012</x:v>
      </x:c>
      <x:c r="D50" s="45" t="n">
        <x:v>0.012</x:v>
      </x:c>
      <x:c r="E50" s="54" t="str">
        <x:v>%</x:v>
      </x:c>
      <x:c r="F50" s="45" t="n">
        <x:v>0.001</x:v>
      </x:c>
      <x:c r="G50" s="45" t="str">
        <x:v>模拟检测法-Cu</x:v>
      </x:c>
      <x:c r="H50" s="63" t="n">
        <x:v>46298</x:v>
      </x:c>
      <x:c r="I50" s="54" t="str">
        <x:v>SIM-LAB-01</x:v>
      </x:c>
      <x:c r="J50" s="45" t="str">
        <x:v>人工模拟结果，无对应检测报告</x:v>
      </x:c>
    </x:row>
    <x:row r="51">
      <x:c r="A51" s="54" t="str">
        <x:v>SIM-S008</x:v>
      </x:c>
      <x:c r="B51" s="54" t="str">
        <x:v>Pb</x:v>
      </x:c>
      <x:c r="C51" s="45" t="str">
        <x:v>0.0297</x:v>
      </x:c>
      <x:c r="D51" s="45" t="n">
        <x:v>0.0297</x:v>
      </x:c>
      <x:c r="E51" s="54" t="str">
        <x:v>%</x:v>
      </x:c>
      <x:c r="F51" s="45" t="n">
        <x:v>0.001</x:v>
      </x:c>
      <x:c r="G51" s="45" t="str">
        <x:v>模拟检测法-Pb</x:v>
      </x:c>
      <x:c r="H51" s="63" t="n">
        <x:v>46298</x:v>
      </x:c>
      <x:c r="I51" s="54" t="str">
        <x:v>SIM-LAB-01</x:v>
      </x:c>
      <x:c r="J51" s="45" t="str">
        <x:v>人工模拟结果，无对应检测报告</x:v>
      </x:c>
    </x:row>
    <x:row r="52">
      <x:c r="A52" s="54" t="str">
        <x:v>SIM-S008</x:v>
      </x:c>
      <x:c r="B52" s="54" t="str">
        <x:v>Zn</x:v>
      </x:c>
      <x:c r="C52" s="45" t="str">
        <x:v>0.0446</x:v>
      </x:c>
      <x:c r="D52" s="45" t="n">
        <x:v>0.0446</x:v>
      </x:c>
      <x:c r="E52" s="54" t="str">
        <x:v>%</x:v>
      </x:c>
      <x:c r="F52" s="45" t="n">
        <x:v>0.001</x:v>
      </x:c>
      <x:c r="G52" s="45" t="str">
        <x:v>模拟检测法-Zn</x:v>
      </x:c>
      <x:c r="H52" s="63" t="n">
        <x:v>46298</x:v>
      </x:c>
      <x:c r="I52" s="54" t="str">
        <x:v>SIM-LAB-01</x:v>
      </x:c>
      <x:c r="J52" s="45" t="str">
        <x:v>人工模拟结果，无对应检测报告</x:v>
      </x:c>
    </x:row>
    <x:row r="53">
      <x:c r="A53" s="54" t="str">
        <x:v>SIM-S008</x:v>
      </x:c>
      <x:c r="B53" s="54" t="str">
        <x:v>As</x:v>
      </x:c>
      <x:c r="C53" s="45" t="str">
        <x:v>5.5</x:v>
      </x:c>
      <x:c r="D53" s="45" t="n">
        <x:v>5.5</x:v>
      </x:c>
      <x:c r="E53" s="54" t="str">
        <x:v>mg/kg</x:v>
      </x:c>
      <x:c r="F53" s="45" t="n">
        <x:v>1</x:v>
      </x:c>
      <x:c r="G53" s="45" t="str">
        <x:v>模拟检测法-As</x:v>
      </x:c>
      <x:c r="H53" s="63" t="n">
        <x:v>46298</x:v>
      </x:c>
      <x:c r="I53" s="54" t="str">
        <x:v>SIM-LAB-01</x:v>
      </x:c>
      <x:c r="J53" s="45" t="str">
        <x:v>人工模拟结果，无对应检测报告</x:v>
      </x:c>
    </x:row>
    <x:row r="54">
      <x:c r="A54" s="54" t="str">
        <x:v>SIM-S009</x:v>
      </x:c>
      <x:c r="B54" s="54" t="str">
        <x:v>Au</x:v>
      </x:c>
      <x:c r="C54" s="45" t="str">
        <x:v>0.061</x:v>
      </x:c>
      <x:c r="D54" s="45" t="n">
        <x:v>0.061</x:v>
      </x:c>
      <x:c r="E54" s="54" t="str">
        <x:v>mg/kg</x:v>
      </x:c>
      <x:c r="F54" s="45" t="n">
        <x:v>0.005</x:v>
      </x:c>
      <x:c r="G54" s="45" t="str">
        <x:v>模拟检测法-Au</x:v>
      </x:c>
      <x:c r="H54" s="63" t="n">
        <x:v>46298</x:v>
      </x:c>
      <x:c r="I54" s="54" t="str">
        <x:v>SIM-LAB-01</x:v>
      </x:c>
      <x:c r="J54" s="45" t="str">
        <x:v>人工模拟结果，无对应检测报告</x:v>
      </x:c>
    </x:row>
    <x:row r="55">
      <x:c r="A55" s="54" t="str">
        <x:v>SIM-S009</x:v>
      </x:c>
      <x:c r="B55" s="54" t="str">
        <x:v>Ag</x:v>
      </x:c>
      <x:c r="C55" s="45" t="str">
        <x:v>0.84</x:v>
      </x:c>
      <x:c r="D55" s="45" t="n">
        <x:v>0.84</x:v>
      </x:c>
      <x:c r="E55" s="54" t="str">
        <x:v>mg/kg</x:v>
      </x:c>
      <x:c r="F55" s="45" t="n">
        <x:v>0.1</x:v>
      </x:c>
      <x:c r="G55" s="45" t="str">
        <x:v>模拟检测法-Ag</x:v>
      </x:c>
      <x:c r="H55" s="63" t="n">
        <x:v>46298</x:v>
      </x:c>
      <x:c r="I55" s="54" t="str">
        <x:v>SIM-LAB-01</x:v>
      </x:c>
      <x:c r="J55" s="45" t="str">
        <x:v>人工模拟结果，无对应检测报告</x:v>
      </x:c>
    </x:row>
    <x:row r="56">
      <x:c r="A56" s="54" t="str">
        <x:v>SIM-S009</x:v>
      </x:c>
      <x:c r="B56" s="54" t="str">
        <x:v>Cu</x:v>
      </x:c>
      <x:c r="C56" s="45" t="str">
        <x:v>0.0108</x:v>
      </x:c>
      <x:c r="D56" s="45" t="n">
        <x:v>0.0108</x:v>
      </x:c>
      <x:c r="E56" s="54" t="str">
        <x:v>%</x:v>
      </x:c>
      <x:c r="F56" s="45" t="n">
        <x:v>0.001</x:v>
      </x:c>
      <x:c r="G56" s="45" t="str">
        <x:v>模拟检测法-Cu</x:v>
      </x:c>
      <x:c r="H56" s="63" t="n">
        <x:v>46298</x:v>
      </x:c>
      <x:c r="I56" s="54" t="str">
        <x:v>SIM-LAB-01</x:v>
      </x:c>
      <x:c r="J56" s="45" t="str">
        <x:v>人工模拟结果，无对应检测报告</x:v>
      </x:c>
    </x:row>
    <x:row r="57">
      <x:c r="A57" s="54" t="str">
        <x:v>SIM-S009</x:v>
      </x:c>
      <x:c r="B57" s="54" t="str">
        <x:v>Pb</x:v>
      </x:c>
      <x:c r="C57" s="45" t="str">
        <x:v>0.0278</x:v>
      </x:c>
      <x:c r="D57" s="45" t="n">
        <x:v>0.0278</x:v>
      </x:c>
      <x:c r="E57" s="54" t="str">
        <x:v>%</x:v>
      </x:c>
      <x:c r="F57" s="45" t="n">
        <x:v>0.001</x:v>
      </x:c>
      <x:c r="G57" s="45" t="str">
        <x:v>模拟检测法-Pb</x:v>
      </x:c>
      <x:c r="H57" s="63" t="n">
        <x:v>46298</x:v>
      </x:c>
      <x:c r="I57" s="54" t="str">
        <x:v>SIM-LAB-01</x:v>
      </x:c>
      <x:c r="J57" s="45" t="str">
        <x:v>人工模拟结果，无对应检测报告</x:v>
      </x:c>
    </x:row>
    <x:row r="58">
      <x:c r="A58" s="54" t="str">
        <x:v>SIM-S009</x:v>
      </x:c>
      <x:c r="B58" s="54" t="str">
        <x:v>Zn</x:v>
      </x:c>
      <x:c r="C58" s="45" t="str">
        <x:v>0.0422</x:v>
      </x:c>
      <x:c r="D58" s="45" t="n">
        <x:v>0.0422</x:v>
      </x:c>
      <x:c r="E58" s="54" t="str">
        <x:v>%</x:v>
      </x:c>
      <x:c r="F58" s="45" t="n">
        <x:v>0.001</x:v>
      </x:c>
      <x:c r="G58" s="45" t="str">
        <x:v>模拟检测法-Zn</x:v>
      </x:c>
      <x:c r="H58" s="63" t="n">
        <x:v>46298</x:v>
      </x:c>
      <x:c r="I58" s="54" t="str">
        <x:v>SIM-LAB-01</x:v>
      </x:c>
      <x:c r="J58" s="45" t="str">
        <x:v>人工模拟结果，无对应检测报告</x:v>
      </x:c>
    </x:row>
    <x:row r="59">
      <x:c r="A59" s="54" t="str">
        <x:v>SIM-S009</x:v>
      </x:c>
      <x:c r="B59" s="54" t="str">
        <x:v>As</x:v>
      </x:c>
      <x:c r="C59" s="45" t="str">
        <x:v>4.8</x:v>
      </x:c>
      <x:c r="D59" s="45" t="n">
        <x:v>4.8</x:v>
      </x:c>
      <x:c r="E59" s="54" t="str">
        <x:v>mg/kg</x:v>
      </x:c>
      <x:c r="F59" s="45" t="n">
        <x:v>1</x:v>
      </x:c>
      <x:c r="G59" s="45" t="str">
        <x:v>模拟检测法-As</x:v>
      </x:c>
      <x:c r="H59" s="63" t="n">
        <x:v>46298</x:v>
      </x:c>
      <x:c r="I59" s="54" t="str">
        <x:v>SIM-LAB-01</x:v>
      </x:c>
      <x:c r="J59" s="45" t="str">
        <x:v>人工模拟结果，无对应检测报告</x:v>
      </x:c>
    </x:row>
    <x:row r="60">
      <x:c r="A60" s="54" t="str">
        <x:v>SIM-S010</x:v>
      </x:c>
      <x:c r="B60" s="54" t="str">
        <x:v>Au</x:v>
      </x:c>
      <x:c r="C60" s="45" t="str">
        <x:v>0.051</x:v>
      </x:c>
      <x:c r="D60" s="45" t="n">
        <x:v>0.051</x:v>
      </x:c>
      <x:c r="E60" s="54" t="str">
        <x:v>mg/kg</x:v>
      </x:c>
      <x:c r="F60" s="45" t="n">
        <x:v>0.005</x:v>
      </x:c>
      <x:c r="G60" s="45" t="str">
        <x:v>模拟检测法-Au</x:v>
      </x:c>
      <x:c r="H60" s="63" t="n">
        <x:v>46298</x:v>
      </x:c>
      <x:c r="I60" s="54" t="str">
        <x:v>SIM-LAB-01</x:v>
      </x:c>
      <x:c r="J60" s="45" t="str">
        <x:v>人工模拟结果，无对应检测报告</x:v>
      </x:c>
    </x:row>
    <x:row r="61">
      <x:c r="A61" s="54" t="str">
        <x:v>SIM-S010</x:v>
      </x:c>
      <x:c r="B61" s="54" t="str">
        <x:v>Ag</x:v>
      </x:c>
      <x:c r="C61" s="45" t="str">
        <x:v>0.54</x:v>
      </x:c>
      <x:c r="D61" s="45" t="n">
        <x:v>0.54</x:v>
      </x:c>
      <x:c r="E61" s="54" t="str">
        <x:v>mg/kg</x:v>
      </x:c>
      <x:c r="F61" s="45" t="n">
        <x:v>0.1</x:v>
      </x:c>
      <x:c r="G61" s="45" t="str">
        <x:v>模拟检测法-Ag</x:v>
      </x:c>
      <x:c r="H61" s="63" t="n">
        <x:v>46298</x:v>
      </x:c>
      <x:c r="I61" s="54" t="str">
        <x:v>SIM-LAB-01</x:v>
      </x:c>
      <x:c r="J61" s="45" t="str">
        <x:v>人工模拟结果，无对应检测报告</x:v>
      </x:c>
    </x:row>
    <x:row r="62">
      <x:c r="A62" s="54" t="str">
        <x:v>SIM-S010</x:v>
      </x:c>
      <x:c r="B62" s="54" t="str">
        <x:v>Cu</x:v>
      </x:c>
      <x:c r="C62" s="45" t="str">
        <x:v>0.0097</x:v>
      </x:c>
      <x:c r="D62" s="45" t="n">
        <x:v>0.0097</x:v>
      </x:c>
      <x:c r="E62" s="54" t="str">
        <x:v>%</x:v>
      </x:c>
      <x:c r="F62" s="45" t="n">
        <x:v>0.001</x:v>
      </x:c>
      <x:c r="G62" s="45" t="str">
        <x:v>模拟检测法-Cu</x:v>
      </x:c>
      <x:c r="H62" s="63" t="n">
        <x:v>46298</x:v>
      </x:c>
      <x:c r="I62" s="54" t="str">
        <x:v>SIM-LAB-01</x:v>
      </x:c>
      <x:c r="J62" s="45" t="str">
        <x:v>人工模拟结果，无对应检测报告</x:v>
      </x:c>
    </x:row>
    <x:row r="63">
      <x:c r="A63" s="54" t="str">
        <x:v>SIM-S010</x:v>
      </x:c>
      <x:c r="B63" s="54" t="str">
        <x:v>Pb</x:v>
      </x:c>
      <x:c r="C63" s="45" t="str">
        <x:v>0.0259</x:v>
      </x:c>
      <x:c r="D63" s="45" t="n">
        <x:v>0.0259</x:v>
      </x:c>
      <x:c r="E63" s="54" t="str">
        <x:v>%</x:v>
      </x:c>
      <x:c r="F63" s="45" t="n">
        <x:v>0.001</x:v>
      </x:c>
      <x:c r="G63" s="45" t="str">
        <x:v>模拟检测法-Pb</x:v>
      </x:c>
      <x:c r="H63" s="63" t="n">
        <x:v>46298</x:v>
      </x:c>
      <x:c r="I63" s="54" t="str">
        <x:v>SIM-LAB-01</x:v>
      </x:c>
      <x:c r="J63" s="45" t="str">
        <x:v>人工模拟结果，无对应检测报告</x:v>
      </x:c>
    </x:row>
    <x:row r="64">
      <x:c r="A64" s="54" t="str">
        <x:v>SIM-S010</x:v>
      </x:c>
      <x:c r="B64" s="54" t="str">
        <x:v>Zn</x:v>
      </x:c>
      <x:c r="C64" s="45" t="str">
        <x:v>0.0469</x:v>
      </x:c>
      <x:c r="D64" s="45" t="n">
        <x:v>0.0469</x:v>
      </x:c>
      <x:c r="E64" s="54" t="str">
        <x:v>%</x:v>
      </x:c>
      <x:c r="F64" s="45" t="n">
        <x:v>0.001</x:v>
      </x:c>
      <x:c r="G64" s="45" t="str">
        <x:v>模拟检测法-Zn</x:v>
      </x:c>
      <x:c r="H64" s="63" t="n">
        <x:v>46298</x:v>
      </x:c>
      <x:c r="I64" s="54" t="str">
        <x:v>SIM-LAB-01</x:v>
      </x:c>
      <x:c r="J64" s="45" t="str">
        <x:v>人工模拟结果，无对应检测报告</x:v>
      </x:c>
    </x:row>
    <x:row r="65">
      <x:c r="A65" s="54" t="str">
        <x:v>SIM-S010</x:v>
      </x:c>
      <x:c r="B65" s="54" t="str">
        <x:v>As</x:v>
      </x:c>
      <x:c r="C65" s="45" t="str">
        <x:v>4.3</x:v>
      </x:c>
      <x:c r="D65" s="45" t="n">
        <x:v>4.3</x:v>
      </x:c>
      <x:c r="E65" s="54" t="str">
        <x:v>mg/kg</x:v>
      </x:c>
      <x:c r="F65" s="45" t="n">
        <x:v>1</x:v>
      </x:c>
      <x:c r="G65" s="45" t="str">
        <x:v>模拟检测法-As</x:v>
      </x:c>
      <x:c r="H65" s="63" t="n">
        <x:v>46298</x:v>
      </x:c>
      <x:c r="I65" s="54" t="str">
        <x:v>SIM-LAB-01</x:v>
      </x:c>
      <x:c r="J65" s="45" t="str">
        <x:v>人工模拟结果，无对应检测报告</x:v>
      </x:c>
    </x:row>
    <x:row r="66">
      <x:c r="A66" s="54" t="str">
        <x:v>SIM-S011</x:v>
      </x:c>
      <x:c r="B66" s="54" t="str">
        <x:v>Au</x:v>
      </x:c>
      <x:c r="C66" s="45" t="str">
        <x:v>0.034</x:v>
      </x:c>
      <x:c r="D66" s="45" t="n">
        <x:v>0.034</x:v>
      </x:c>
      <x:c r="E66" s="54" t="str">
        <x:v>mg/kg</x:v>
      </x:c>
      <x:c r="F66" s="45" t="n">
        <x:v>0.005</x:v>
      </x:c>
      <x:c r="G66" s="45" t="str">
        <x:v>模拟检测法-Au</x:v>
      </x:c>
      <x:c r="H66" s="63" t="n">
        <x:v>46298</x:v>
      </x:c>
      <x:c r="I66" s="54" t="str">
        <x:v>SIM-LAB-01</x:v>
      </x:c>
      <x:c r="J66" s="45" t="str">
        <x:v>人工模拟结果，无对应检测报告</x:v>
      </x:c>
    </x:row>
    <x:row r="67">
      <x:c r="A67" s="54" t="str">
        <x:v>SIM-S011</x:v>
      </x:c>
      <x:c r="B67" s="54" t="str">
        <x:v>Ag</x:v>
      </x:c>
      <x:c r="C67" s="45" t="str">
        <x:v>0.57</x:v>
      </x:c>
      <x:c r="D67" s="45" t="n">
        <x:v>0.57</x:v>
      </x:c>
      <x:c r="E67" s="54" t="str">
        <x:v>mg/kg</x:v>
      </x:c>
      <x:c r="F67" s="45" t="n">
        <x:v>0.1</x:v>
      </x:c>
      <x:c r="G67" s="45" t="str">
        <x:v>模拟检测法-Ag</x:v>
      </x:c>
      <x:c r="H67" s="63" t="n">
        <x:v>46298</x:v>
      </x:c>
      <x:c r="I67" s="54" t="str">
        <x:v>SIM-LAB-01</x:v>
      </x:c>
      <x:c r="J67" s="45" t="str">
        <x:v>人工模拟结果，无对应检测报告</x:v>
      </x:c>
    </x:row>
    <x:row r="68">
      <x:c r="A68" s="54" t="str">
        <x:v>SIM-S011</x:v>
      </x:c>
      <x:c r="B68" s="54" t="str">
        <x:v>Cu</x:v>
      </x:c>
      <x:c r="C68" s="45" t="str">
        <x:v>0.0089</x:v>
      </x:c>
      <x:c r="D68" s="45" t="n">
        <x:v>0.0089</x:v>
      </x:c>
      <x:c r="E68" s="54" t="str">
        <x:v>%</x:v>
      </x:c>
      <x:c r="F68" s="45" t="n">
        <x:v>0.001</x:v>
      </x:c>
      <x:c r="G68" s="45" t="str">
        <x:v>模拟检测法-Cu</x:v>
      </x:c>
      <x:c r="H68" s="63" t="n">
        <x:v>46298</x:v>
      </x:c>
      <x:c r="I68" s="54" t="str">
        <x:v>SIM-LAB-01</x:v>
      </x:c>
      <x:c r="J68" s="45" t="str">
        <x:v>人工模拟结果，无对应检测报告</x:v>
      </x:c>
    </x:row>
    <x:row r="69">
      <x:c r="A69" s="54" t="str">
        <x:v>SIM-S011</x:v>
      </x:c>
      <x:c r="B69" s="54" t="str">
        <x:v>Pb</x:v>
      </x:c>
      <x:c r="C69" s="45" t="str">
        <x:v>0.0244</x:v>
      </x:c>
      <x:c r="D69" s="45" t="n">
        <x:v>0.0244</x:v>
      </x:c>
      <x:c r="E69" s="54" t="str">
        <x:v>%</x:v>
      </x:c>
      <x:c r="F69" s="45" t="n">
        <x:v>0.001</x:v>
      </x:c>
      <x:c r="G69" s="45" t="str">
        <x:v>模拟检测法-Pb</x:v>
      </x:c>
      <x:c r="H69" s="63" t="n">
        <x:v>46298</x:v>
      </x:c>
      <x:c r="I69" s="54" t="str">
        <x:v>SIM-LAB-01</x:v>
      </x:c>
      <x:c r="J69" s="45" t="str">
        <x:v>人工模拟结果，无对应检测报告</x:v>
      </x:c>
    </x:row>
    <x:row r="70">
      <x:c r="A70" s="54" t="str">
        <x:v>SIM-S011</x:v>
      </x:c>
      <x:c r="B70" s="54" t="str">
        <x:v>Zn</x:v>
      </x:c>
      <x:c r="C70" s="45" t="str">
        <x:v>0.0575</x:v>
      </x:c>
      <x:c r="D70" s="45" t="n">
        <x:v>0.0575</x:v>
      </x:c>
      <x:c r="E70" s="54" t="str">
        <x:v>%</x:v>
      </x:c>
      <x:c r="F70" s="45" t="n">
        <x:v>0.001</x:v>
      </x:c>
      <x:c r="G70" s="45" t="str">
        <x:v>模拟检测法-Zn</x:v>
      </x:c>
      <x:c r="H70" s="63" t="n">
        <x:v>46298</x:v>
      </x:c>
      <x:c r="I70" s="54" t="str">
        <x:v>SIM-LAB-01</x:v>
      </x:c>
      <x:c r="J70" s="45" t="str">
        <x:v>人工模拟结果，无对应检测报告</x:v>
      </x:c>
    </x:row>
    <x:row r="71">
      <x:c r="A71" s="54" t="str">
        <x:v>SIM-S011</x:v>
      </x:c>
      <x:c r="B71" s="54" t="str">
        <x:v>As</x:v>
      </x:c>
      <x:c r="C71" s="45" t="str">
        <x:v>4.1</x:v>
      </x:c>
      <x:c r="D71" s="45" t="n">
        <x:v>4.1</x:v>
      </x:c>
      <x:c r="E71" s="54" t="str">
        <x:v>mg/kg</x:v>
      </x:c>
      <x:c r="F71" s="45" t="n">
        <x:v>1</x:v>
      </x:c>
      <x:c r="G71" s="45" t="str">
        <x:v>模拟检测法-As</x:v>
      </x:c>
      <x:c r="H71" s="63" t="n">
        <x:v>46298</x:v>
      </x:c>
      <x:c r="I71" s="54" t="str">
        <x:v>SIM-LAB-01</x:v>
      </x:c>
      <x:c r="J71" s="45" t="str">
        <x:v>人工模拟结果，无对应检测报告</x:v>
      </x:c>
    </x:row>
    <x:row r="72">
      <x:c r="A72" s="54" t="str">
        <x:v>SIM-S012</x:v>
      </x:c>
      <x:c r="B72" s="54" t="str">
        <x:v>Au</x:v>
      </x:c>
      <x:c r="C72" s="45" t="str">
        <x:v>0.027</x:v>
      </x:c>
      <x:c r="D72" s="45" t="n">
        <x:v>0.027</x:v>
      </x:c>
      <x:c r="E72" s="54" t="str">
        <x:v>mg/kg</x:v>
      </x:c>
      <x:c r="F72" s="45" t="n">
        <x:v>0.005</x:v>
      </x:c>
      <x:c r="G72" s="45" t="str">
        <x:v>模拟检测法-Au</x:v>
      </x:c>
      <x:c r="H72" s="63" t="n">
        <x:v>46298</x:v>
      </x:c>
      <x:c r="I72" s="54" t="str">
        <x:v>SIM-LAB-01</x:v>
      </x:c>
      <x:c r="J72" s="45" t="str">
        <x:v>人工模拟结果，无对应检测报告</x:v>
      </x:c>
    </x:row>
    <x:row r="73">
      <x:c r="A73" s="54" t="str">
        <x:v>SIM-S012</x:v>
      </x:c>
      <x:c r="B73" s="54" t="str">
        <x:v>Ag</x:v>
      </x:c>
      <x:c r="C73" s="45" t="str">
        <x:v>0.92</x:v>
      </x:c>
      <x:c r="D73" s="45" t="n">
        <x:v>0.92</x:v>
      </x:c>
      <x:c r="E73" s="54" t="str">
        <x:v>mg/kg</x:v>
      </x:c>
      <x:c r="F73" s="45" t="n">
        <x:v>0.1</x:v>
      </x:c>
      <x:c r="G73" s="45" t="str">
        <x:v>模拟检测法-Ag</x:v>
      </x:c>
      <x:c r="H73" s="63" t="n">
        <x:v>46298</x:v>
      </x:c>
      <x:c r="I73" s="54" t="str">
        <x:v>SIM-LAB-01</x:v>
      </x:c>
      <x:c r="J73" s="45" t="str">
        <x:v>人工模拟结果，无对应检测报告</x:v>
      </x:c>
    </x:row>
    <x:row r="74">
      <x:c r="A74" s="54" t="str">
        <x:v>SIM-S012</x:v>
      </x:c>
      <x:c r="B74" s="54" t="str">
        <x:v>Cu</x:v>
      </x:c>
      <x:c r="C74" s="45" t="str">
        <x:v>0.0085</x:v>
      </x:c>
      <x:c r="D74" s="45" t="n">
        <x:v>0.0085</x:v>
      </x:c>
      <x:c r="E74" s="54" t="str">
        <x:v>%</x:v>
      </x:c>
      <x:c r="F74" s="45" t="n">
        <x:v>0.001</x:v>
      </x:c>
      <x:c r="G74" s="45" t="str">
        <x:v>模拟检测法-Cu</x:v>
      </x:c>
      <x:c r="H74" s="63" t="n">
        <x:v>46298</x:v>
      </x:c>
      <x:c r="I74" s="54" t="str">
        <x:v>SIM-LAB-01</x:v>
      </x:c>
      <x:c r="J74" s="45" t="str">
        <x:v>人工模拟结果，无对应检测报告</x:v>
      </x:c>
    </x:row>
    <x:row r="75">
      <x:c r="A75" s="54" t="str">
        <x:v>SIM-S012</x:v>
      </x:c>
      <x:c r="B75" s="54" t="str">
        <x:v>Pb</x:v>
      </x:c>
      <x:c r="C75" s="45" t="str">
        <x:v>0.0235</x:v>
      </x:c>
      <x:c r="D75" s="45" t="n">
        <x:v>0.0235</x:v>
      </x:c>
      <x:c r="E75" s="54" t="str">
        <x:v>%</x:v>
      </x:c>
      <x:c r="F75" s="45" t="n">
        <x:v>0.001</x:v>
      </x:c>
      <x:c r="G75" s="45" t="str">
        <x:v>模拟检测法-Pb</x:v>
      </x:c>
      <x:c r="H75" s="63" t="n">
        <x:v>46298</x:v>
      </x:c>
      <x:c r="I75" s="54" t="str">
        <x:v>SIM-LAB-01</x:v>
      </x:c>
      <x:c r="J75" s="45" t="str">
        <x:v>人工模拟结果，无对应检测报告</x:v>
      </x:c>
    </x:row>
    <x:row r="76">
      <x:c r="A76" s="54" t="str">
        <x:v>SIM-S012</x:v>
      </x:c>
      <x:c r="B76" s="54" t="str">
        <x:v>Zn</x:v>
      </x:c>
      <x:c r="C76" s="45" t="str">
        <x:v>0.0711</x:v>
      </x:c>
      <x:c r="D76" s="45" t="n">
        <x:v>0.0711</x:v>
      </x:c>
      <x:c r="E76" s="54" t="str">
        <x:v>%</x:v>
      </x:c>
      <x:c r="F76" s="45" t="n">
        <x:v>0.001</x:v>
      </x:c>
      <x:c r="G76" s="45" t="str">
        <x:v>模拟检测法-Zn</x:v>
      </x:c>
      <x:c r="H76" s="63" t="n">
        <x:v>46298</x:v>
      </x:c>
      <x:c r="I76" s="54" t="str">
        <x:v>SIM-LAB-01</x:v>
      </x:c>
      <x:c r="J76" s="45" t="str">
        <x:v>人工模拟结果，无对应检测报告</x:v>
      </x:c>
    </x:row>
    <x:row r="77">
      <x:c r="A77" s="54" t="str">
        <x:v>SIM-S012</x:v>
      </x:c>
      <x:c r="B77" s="54" t="str">
        <x:v>As</x:v>
      </x:c>
      <x:c r="C77" s="45" t="str">
        <x:v>4.2</x:v>
      </x:c>
      <x:c r="D77" s="45" t="n">
        <x:v>4.2</x:v>
      </x:c>
      <x:c r="E77" s="54" t="str">
        <x:v>mg/kg</x:v>
      </x:c>
      <x:c r="F77" s="45" t="n">
        <x:v>1</x:v>
      </x:c>
      <x:c r="G77" s="45" t="str">
        <x:v>模拟检测法-As</x:v>
      </x:c>
      <x:c r="H77" s="63" t="n">
        <x:v>46298</x:v>
      </x:c>
      <x:c r="I77" s="54" t="str">
        <x:v>SIM-LAB-01</x:v>
      </x:c>
      <x:c r="J77" s="45" t="str">
        <x:v>人工模拟结果，无对应检测报告</x:v>
      </x:c>
    </x:row>
    <x:row r="78">
      <x:c r="A78" s="54" t="str">
        <x:v>SIM-S013</x:v>
      </x:c>
      <x:c r="B78" s="54" t="str">
        <x:v>Au</x:v>
      </x:c>
      <x:c r="C78" s="45" t="str">
        <x:v>0.04</x:v>
      </x:c>
      <x:c r="D78" s="45" t="n">
        <x:v>0.04</x:v>
      </x:c>
      <x:c r="E78" s="54" t="str">
        <x:v>mg/kg</x:v>
      </x:c>
      <x:c r="F78" s="45" t="n">
        <x:v>0.005</x:v>
      </x:c>
      <x:c r="G78" s="45" t="str">
        <x:v>模拟检测法-Au</x:v>
      </x:c>
      <x:c r="H78" s="63" t="n">
        <x:v>46298</x:v>
      </x:c>
      <x:c r="I78" s="54" t="str">
        <x:v>SIM-LAB-01</x:v>
      </x:c>
      <x:c r="J78" s="45" t="str">
        <x:v>人工模拟结果，无对应检测报告</x:v>
      </x:c>
    </x:row>
    <x:row r="79">
      <x:c r="A79" s="54" t="str">
        <x:v>SIM-S013</x:v>
      </x:c>
      <x:c r="B79" s="54" t="str">
        <x:v>Ag</x:v>
      </x:c>
      <x:c r="C79" s="45" t="str">
        <x:v>1.29</x:v>
      </x:c>
      <x:c r="D79" s="45" t="n">
        <x:v>1.29</x:v>
      </x:c>
      <x:c r="E79" s="54" t="str">
        <x:v>mg/kg</x:v>
      </x:c>
      <x:c r="F79" s="45" t="n">
        <x:v>0.1</x:v>
      </x:c>
      <x:c r="G79" s="45" t="str">
        <x:v>模拟检测法-Ag</x:v>
      </x:c>
      <x:c r="H79" s="63" t="n">
        <x:v>46298</x:v>
      </x:c>
      <x:c r="I79" s="54" t="str">
        <x:v>SIM-LAB-01</x:v>
      </x:c>
      <x:c r="J79" s="45" t="str">
        <x:v>人工模拟结果，无对应检测报告</x:v>
      </x:c>
    </x:row>
    <x:row r="80">
      <x:c r="A80" s="54" t="str">
        <x:v>SIM-S013</x:v>
      </x:c>
      <x:c r="B80" s="54" t="str">
        <x:v>Cu</x:v>
      </x:c>
      <x:c r="C80" s="45" t="str">
        <x:v>0.0089</x:v>
      </x:c>
      <x:c r="D80" s="45" t="n">
        <x:v>0.0089</x:v>
      </x:c>
      <x:c r="E80" s="54" t="str">
        <x:v>%</x:v>
      </x:c>
      <x:c r="F80" s="45" t="n">
        <x:v>0.001</x:v>
      </x:c>
      <x:c r="G80" s="45" t="str">
        <x:v>模拟检测法-Cu</x:v>
      </x:c>
      <x:c r="H80" s="63" t="n">
        <x:v>46298</x:v>
      </x:c>
      <x:c r="I80" s="54" t="str">
        <x:v>SIM-LAB-01</x:v>
      </x:c>
      <x:c r="J80" s="45" t="str">
        <x:v>人工模拟结果，无对应检测报告</x:v>
      </x:c>
    </x:row>
    <x:row r="81">
      <x:c r="A81" s="54" t="str">
        <x:v>SIM-S013</x:v>
      </x:c>
      <x:c r="B81" s="54" t="str">
        <x:v>Pb</x:v>
      </x:c>
      <x:c r="C81" s="45" t="str">
        <x:v>0.0243</x:v>
      </x:c>
      <x:c r="D81" s="45" t="n">
        <x:v>0.0243</x:v>
      </x:c>
      <x:c r="E81" s="54" t="str">
        <x:v>%</x:v>
      </x:c>
      <x:c r="F81" s="45" t="n">
        <x:v>0.001</x:v>
      </x:c>
      <x:c r="G81" s="45" t="str">
        <x:v>模拟检测法-Pb</x:v>
      </x:c>
      <x:c r="H81" s="63" t="n">
        <x:v>46298</x:v>
      </x:c>
      <x:c r="I81" s="54" t="str">
        <x:v>SIM-LAB-01</x:v>
      </x:c>
      <x:c r="J81" s="45" t="str">
        <x:v>人工模拟结果，无对应检测报告</x:v>
      </x:c>
    </x:row>
    <x:row r="82">
      <x:c r="A82" s="54" t="str">
        <x:v>SIM-S013</x:v>
      </x:c>
      <x:c r="B82" s="54" t="str">
        <x:v>Zn</x:v>
      </x:c>
      <x:c r="C82" s="45" t="str">
        <x:v>0.0852</x:v>
      </x:c>
      <x:c r="D82" s="45" t="n">
        <x:v>0.0852</x:v>
      </x:c>
      <x:c r="E82" s="54" t="str">
        <x:v>%</x:v>
      </x:c>
      <x:c r="F82" s="45" t="n">
        <x:v>0.001</x:v>
      </x:c>
      <x:c r="G82" s="45" t="str">
        <x:v>模拟检测法-Zn</x:v>
      </x:c>
      <x:c r="H82" s="63" t="n">
        <x:v>46298</x:v>
      </x:c>
      <x:c r="I82" s="54" t="str">
        <x:v>SIM-LAB-01</x:v>
      </x:c>
      <x:c r="J82" s="45" t="str">
        <x:v>人工模拟结果，无对应检测报告</x:v>
      </x:c>
    </x:row>
    <x:row r="83">
      <x:c r="A83" s="54" t="str">
        <x:v>SIM-S013</x:v>
      </x:c>
      <x:c r="B83" s="54" t="str">
        <x:v>As</x:v>
      </x:c>
      <x:c r="C83" s="45" t="str">
        <x:v>4.6</x:v>
      </x:c>
      <x:c r="D83" s="45" t="n">
        <x:v>4.6</x:v>
      </x:c>
      <x:c r="E83" s="54" t="str">
        <x:v>mg/kg</x:v>
      </x:c>
      <x:c r="F83" s="45" t="n">
        <x:v>1</x:v>
      </x:c>
      <x:c r="G83" s="45" t="str">
        <x:v>模拟检测法-As</x:v>
      </x:c>
      <x:c r="H83" s="63" t="n">
        <x:v>46298</x:v>
      </x:c>
      <x:c r="I83" s="54" t="str">
        <x:v>SIM-LAB-01</x:v>
      </x:c>
      <x:c r="J83" s="45" t="str">
        <x:v>人工模拟结果，无对应检测报告</x:v>
      </x:c>
    </x:row>
    <x:row r="84">
      <x:c r="A84" s="54" t="str">
        <x:v>SIM-S014</x:v>
      </x:c>
      <x:c r="B84" s="54" t="str">
        <x:v>Au</x:v>
      </x:c>
      <x:c r="C84" s="45" t="str">
        <x:v>0.066</x:v>
      </x:c>
      <x:c r="D84" s="45" t="n">
        <x:v>0.066</x:v>
      </x:c>
      <x:c r="E84" s="54" t="str">
        <x:v>mg/kg</x:v>
      </x:c>
      <x:c r="F84" s="45" t="n">
        <x:v>0.005</x:v>
      </x:c>
      <x:c r="G84" s="45" t="str">
        <x:v>模拟检测法-Au</x:v>
      </x:c>
      <x:c r="H84" s="63" t="n">
        <x:v>46298</x:v>
      </x:c>
      <x:c r="I84" s="54" t="str">
        <x:v>SIM-LAB-01</x:v>
      </x:c>
      <x:c r="J84" s="45" t="str">
        <x:v>人工模拟结果，无对应检测报告</x:v>
      </x:c>
    </x:row>
    <x:row r="85">
      <x:c r="A85" s="54" t="str">
        <x:v>SIM-S014</x:v>
      </x:c>
      <x:c r="B85" s="54" t="str">
        <x:v>Ag</x:v>
      </x:c>
      <x:c r="C85" s="45" t="str">
        <x:v>1.39</x:v>
      </x:c>
      <x:c r="D85" s="45" t="n">
        <x:v>1.39</x:v>
      </x:c>
      <x:c r="E85" s="54" t="str">
        <x:v>mg/kg</x:v>
      </x:c>
      <x:c r="F85" s="45" t="n">
        <x:v>0.1</x:v>
      </x:c>
      <x:c r="G85" s="45" t="str">
        <x:v>模拟检测法-Ag</x:v>
      </x:c>
      <x:c r="H85" s="63" t="n">
        <x:v>46298</x:v>
      </x:c>
      <x:c r="I85" s="54" t="str">
        <x:v>SIM-LAB-01</x:v>
      </x:c>
      <x:c r="J85" s="45" t="str">
        <x:v>人工模拟结果，无对应检测报告</x:v>
      </x:c>
    </x:row>
    <x:row r="86">
      <x:c r="A86" s="54" t="str">
        <x:v>SIM-S014</x:v>
      </x:c>
      <x:c r="B86" s="54" t="str">
        <x:v>Cu</x:v>
      </x:c>
      <x:c r="C86" s="45" t="str">
        <x:v>0.0104</x:v>
      </x:c>
      <x:c r="D86" s="45" t="n">
        <x:v>0.0104</x:v>
      </x:c>
      <x:c r="E86" s="54" t="str">
        <x:v>%</x:v>
      </x:c>
      <x:c r="F86" s="45" t="n">
        <x:v>0.001</x:v>
      </x:c>
      <x:c r="G86" s="45" t="str">
        <x:v>模拟检测法-Cu</x:v>
      </x:c>
      <x:c r="H86" s="63" t="n">
        <x:v>46298</x:v>
      </x:c>
      <x:c r="I86" s="54" t="str">
        <x:v>SIM-LAB-01</x:v>
      </x:c>
      <x:c r="J86" s="45" t="str">
        <x:v>人工模拟结果，无对应检测报告</x:v>
      </x:c>
    </x:row>
    <x:row r="87">
      <x:c r="A87" s="54" t="str">
        <x:v>SIM-S014</x:v>
      </x:c>
      <x:c r="B87" s="54" t="str">
        <x:v>Pb</x:v>
      </x:c>
      <x:c r="C87" s="45" t="str">
        <x:v>0.0281</x:v>
      </x:c>
      <x:c r="D87" s="45" t="n">
        <x:v>0.0281</x:v>
      </x:c>
      <x:c r="E87" s="54" t="str">
        <x:v>%</x:v>
      </x:c>
      <x:c r="F87" s="45" t="n">
        <x:v>0.001</x:v>
      </x:c>
      <x:c r="G87" s="45" t="str">
        <x:v>模拟检测法-Pb</x:v>
      </x:c>
      <x:c r="H87" s="63" t="n">
        <x:v>46298</x:v>
      </x:c>
      <x:c r="I87" s="54" t="str">
        <x:v>SIM-LAB-01</x:v>
      </x:c>
      <x:c r="J87" s="45" t="str">
        <x:v>人工模拟结果，无对应检测报告</x:v>
      </x:c>
    </x:row>
    <x:row r="88">
      <x:c r="A88" s="54" t="str">
        <x:v>SIM-S014</x:v>
      </x:c>
      <x:c r="B88" s="54" t="str">
        <x:v>Zn</x:v>
      </x:c>
      <x:c r="C88" s="45" t="str">
        <x:v>0.0994</x:v>
      </x:c>
      <x:c r="D88" s="45" t="n">
        <x:v>0.0994</x:v>
      </x:c>
      <x:c r="E88" s="54" t="str">
        <x:v>%</x:v>
      </x:c>
      <x:c r="F88" s="45" t="n">
        <x:v>0.001</x:v>
      </x:c>
      <x:c r="G88" s="45" t="str">
        <x:v>模拟检测法-Zn</x:v>
      </x:c>
      <x:c r="H88" s="63" t="n">
        <x:v>46298</x:v>
      </x:c>
      <x:c r="I88" s="54" t="str">
        <x:v>SIM-LAB-01</x:v>
      </x:c>
      <x:c r="J88" s="45" t="str">
        <x:v>人工模拟结果，无对应检测报告</x:v>
      </x:c>
    </x:row>
    <x:row r="89">
      <x:c r="A89" s="54" t="str">
        <x:v>SIM-S014</x:v>
      </x:c>
      <x:c r="B89" s="54" t="str">
        <x:v>As</x:v>
      </x:c>
      <x:c r="C89" s="45" t="str">
        <x:v>5.5</x:v>
      </x:c>
      <x:c r="D89" s="45" t="n">
        <x:v>5.5</x:v>
      </x:c>
      <x:c r="E89" s="54" t="str">
        <x:v>mg/kg</x:v>
      </x:c>
      <x:c r="F89" s="45" t="n">
        <x:v>1</x:v>
      </x:c>
      <x:c r="G89" s="45" t="str">
        <x:v>模拟检测法-As</x:v>
      </x:c>
      <x:c r="H89" s="63" t="n">
        <x:v>46298</x:v>
      </x:c>
      <x:c r="I89" s="54" t="str">
        <x:v>SIM-LAB-01</x:v>
      </x:c>
      <x:c r="J89" s="45" t="str">
        <x:v>人工模拟结果，无对应检测报告</x:v>
      </x:c>
    </x:row>
    <x:row r="90">
      <x:c r="A90" s="54" t="str">
        <x:v>SIM-S015</x:v>
      </x:c>
      <x:c r="B90" s="54" t="str">
        <x:v>Au</x:v>
      </x:c>
      <x:c r="C90" s="45" t="str">
        <x:v>0.095</x:v>
      </x:c>
      <x:c r="D90" s="45" t="n">
        <x:v>0.095</x:v>
      </x:c>
      <x:c r="E90" s="54" t="str">
        <x:v>mg/kg</x:v>
      </x:c>
      <x:c r="F90" s="45" t="n">
        <x:v>0.005</x:v>
      </x:c>
      <x:c r="G90" s="45" t="str">
        <x:v>模拟检测法-Au</x:v>
      </x:c>
      <x:c r="H90" s="63" t="n">
        <x:v>46298</x:v>
      </x:c>
      <x:c r="I90" s="54" t="str">
        <x:v>SIM-LAB-01</x:v>
      </x:c>
      <x:c r="J90" s="45" t="str">
        <x:v>人工模拟结果，无对应检测报告</x:v>
      </x:c>
    </x:row>
    <x:row r="91">
      <x:c r="A91" s="54" t="str">
        <x:v>SIM-S015</x:v>
      </x:c>
      <x:c r="B91" s="54" t="str">
        <x:v>Ag</x:v>
      </x:c>
      <x:c r="C91" s="45" t="str">
        <x:v>1.25</x:v>
      </x:c>
      <x:c r="D91" s="45" t="n">
        <x:v>1.25</x:v>
      </x:c>
      <x:c r="E91" s="54" t="str">
        <x:v>mg/kg</x:v>
      </x:c>
      <x:c r="F91" s="45" t="n">
        <x:v>0.1</x:v>
      </x:c>
      <x:c r="G91" s="45" t="str">
        <x:v>模拟检测法-Ag</x:v>
      </x:c>
      <x:c r="H91" s="63" t="n">
        <x:v>46298</x:v>
      </x:c>
      <x:c r="I91" s="54" t="str">
        <x:v>SIM-LAB-01</x:v>
      </x:c>
      <x:c r="J91" s="45" t="str">
        <x:v>人工模拟结果，无对应检测报告</x:v>
      </x:c>
    </x:row>
    <x:row r="92">
      <x:c r="A92" s="54" t="str">
        <x:v>SIM-S015</x:v>
      </x:c>
      <x:c r="B92" s="54" t="str">
        <x:v>Cu</x:v>
      </x:c>
      <x:c r="C92" s="45" t="str">
        <x:v>0.0137</x:v>
      </x:c>
      <x:c r="D92" s="45" t="n">
        <x:v>0.0137</x:v>
      </x:c>
      <x:c r="E92" s="54" t="str">
        <x:v>%</x:v>
      </x:c>
      <x:c r="F92" s="45" t="n">
        <x:v>0.001</x:v>
      </x:c>
      <x:c r="G92" s="45" t="str">
        <x:v>模拟检测法-Cu</x:v>
      </x:c>
      <x:c r="H92" s="63" t="n">
        <x:v>46298</x:v>
      </x:c>
      <x:c r="I92" s="54" t="str">
        <x:v>SIM-LAB-01</x:v>
      </x:c>
      <x:c r="J92" s="45" t="str">
        <x:v>人工模拟结果，无对应检测报告</x:v>
      </x:c>
    </x:row>
    <x:row r="93">
      <x:c r="A93" s="54" t="str">
        <x:v>SIM-S015</x:v>
      </x:c>
      <x:c r="B93" s="54" t="str">
        <x:v>Pb</x:v>
      </x:c>
      <x:c r="C93" s="45" t="str">
        <x:v>0.038</x:v>
      </x:c>
      <x:c r="D93" s="45" t="n">
        <x:v>0.038</x:v>
      </x:c>
      <x:c r="E93" s="54" t="str">
        <x:v>%</x:v>
      </x:c>
      <x:c r="F93" s="45" t="n">
        <x:v>0.001</x:v>
      </x:c>
      <x:c r="G93" s="45" t="str">
        <x:v>模拟检测法-Pb</x:v>
      </x:c>
      <x:c r="H93" s="63" t="n">
        <x:v>46298</x:v>
      </x:c>
      <x:c r="I93" s="54" t="str">
        <x:v>SIM-LAB-01</x:v>
      </x:c>
      <x:c r="J93" s="45" t="str">
        <x:v>人工模拟结果，无对应检测报告</x:v>
      </x:c>
    </x:row>
    <x:row r="94">
      <x:c r="A94" s="54" t="str">
        <x:v>SIM-S015</x:v>
      </x:c>
      <x:c r="B94" s="54" t="str">
        <x:v>Zn</x:v>
      </x:c>
      <x:c r="C94" s="45" t="str">
        <x:v>0.118</x:v>
      </x:c>
      <x:c r="D94" s="45" t="n">
        <x:v>0.118</x:v>
      </x:c>
      <x:c r="E94" s="54" t="str">
        <x:v>%</x:v>
      </x:c>
      <x:c r="F94" s="45" t="n">
        <x:v>0.001</x:v>
      </x:c>
      <x:c r="G94" s="45" t="str">
        <x:v>模拟检测法-Zn</x:v>
      </x:c>
      <x:c r="H94" s="63" t="n">
        <x:v>46298</x:v>
      </x:c>
      <x:c r="I94" s="54" t="str">
        <x:v>SIM-LAB-01</x:v>
      </x:c>
      <x:c r="J94" s="45" t="str">
        <x:v>人工模拟结果，无对应检测报告</x:v>
      </x:c>
    </x:row>
    <x:row r="95">
      <x:c r="A95" s="54" t="str">
        <x:v>SIM-S015</x:v>
      </x:c>
      <x:c r="B95" s="54" t="str">
        <x:v>As</x:v>
      </x:c>
      <x:c r="C95" s="45" t="str">
        <x:v>7.1</x:v>
      </x:c>
      <x:c r="D95" s="45" t="n">
        <x:v>7.1</x:v>
      </x:c>
      <x:c r="E95" s="54" t="str">
        <x:v>mg/kg</x:v>
      </x:c>
      <x:c r="F95" s="45" t="n">
        <x:v>1</x:v>
      </x:c>
      <x:c r="G95" s="45" t="str">
        <x:v>模拟检测法-As</x:v>
      </x:c>
      <x:c r="H95" s="63" t="n">
        <x:v>46298</x:v>
      </x:c>
      <x:c r="I95" s="54" t="str">
        <x:v>SIM-LAB-01</x:v>
      </x:c>
      <x:c r="J95" s="45" t="str">
        <x:v>人工模拟结果，无对应检测报告</x:v>
      </x:c>
    </x:row>
    <x:row r="96">
      <x:c r="A96" s="54" t="str">
        <x:v>SIM-S016</x:v>
      </x:c>
      <x:c r="B96" s="54" t="str">
        <x:v>Au</x:v>
      </x:c>
      <x:c r="C96" s="45" t="str">
        <x:v>0.126</x:v>
      </x:c>
      <x:c r="D96" s="45" t="n">
        <x:v>0.126</x:v>
      </x:c>
      <x:c r="E96" s="54" t="str">
        <x:v>mg/kg</x:v>
      </x:c>
      <x:c r="F96" s="45" t="n">
        <x:v>0.005</x:v>
      </x:c>
      <x:c r="G96" s="45" t="str">
        <x:v>模拟检测法-Au</x:v>
      </x:c>
      <x:c r="H96" s="63" t="n">
        <x:v>46298</x:v>
      </x:c>
      <x:c r="I96" s="54" t="str">
        <x:v>SIM-LAB-01</x:v>
      </x:c>
      <x:c r="J96" s="45" t="str">
        <x:v>人工模拟结果，无对应检测报告</x:v>
      </x:c>
    </x:row>
    <x:row r="97">
      <x:c r="A97" s="54" t="str">
        <x:v>SIM-S016</x:v>
      </x:c>
      <x:c r="B97" s="54" t="str">
        <x:v>Ag</x:v>
      </x:c>
      <x:c r="C97" s="45" t="str">
        <x:v>1.21</x:v>
      </x:c>
      <x:c r="D97" s="45" t="n">
        <x:v>1.21</x:v>
      </x:c>
      <x:c r="E97" s="54" t="str">
        <x:v>mg/kg</x:v>
      </x:c>
      <x:c r="F97" s="45" t="n">
        <x:v>0.1</x:v>
      </x:c>
      <x:c r="G97" s="45" t="str">
        <x:v>模拟检测法-Ag</x:v>
      </x:c>
      <x:c r="H97" s="63" t="n">
        <x:v>46298</x:v>
      </x:c>
      <x:c r="I97" s="54" t="str">
        <x:v>SIM-LAB-01</x:v>
      </x:c>
      <x:c r="J97" s="45" t="str">
        <x:v>人工模拟结果，无对应检测报告</x:v>
      </x:c>
    </x:row>
    <x:row r="98">
      <x:c r="A98" s="54" t="str">
        <x:v>SIM-S016</x:v>
      </x:c>
      <x:c r="B98" s="54" t="str">
        <x:v>Cu</x:v>
      </x:c>
      <x:c r="C98" s="45" t="str">
        <x:v>0.0198</x:v>
      </x:c>
      <x:c r="D98" s="45" t="n">
        <x:v>0.0198</x:v>
      </x:c>
      <x:c r="E98" s="54" t="str">
        <x:v>%</x:v>
      </x:c>
      <x:c r="F98" s="45" t="n">
        <x:v>0.001</x:v>
      </x:c>
      <x:c r="G98" s="45" t="str">
        <x:v>模拟检测法-Cu</x:v>
      </x:c>
      <x:c r="H98" s="63" t="n">
        <x:v>46298</x:v>
      </x:c>
      <x:c r="I98" s="54" t="str">
        <x:v>SIM-LAB-01</x:v>
      </x:c>
      <x:c r="J98" s="45" t="str">
        <x:v>人工模拟结果，无对应检测报告</x:v>
      </x:c>
    </x:row>
    <x:row r="99">
      <x:c r="A99" s="54" t="str">
        <x:v>SIM-S016</x:v>
      </x:c>
      <x:c r="B99" s="54" t="str">
        <x:v>Pb</x:v>
      </x:c>
      <x:c r="C99" s="45" t="str">
        <x:v>0.0587</x:v>
      </x:c>
      <x:c r="D99" s="45" t="n">
        <x:v>0.0587</x:v>
      </x:c>
      <x:c r="E99" s="54" t="str">
        <x:v>%</x:v>
      </x:c>
      <x:c r="F99" s="45" t="n">
        <x:v>0.001</x:v>
      </x:c>
      <x:c r="G99" s="45" t="str">
        <x:v>模拟检测法-Pb</x:v>
      </x:c>
      <x:c r="H99" s="63" t="n">
        <x:v>46298</x:v>
      </x:c>
      <x:c r="I99" s="54" t="str">
        <x:v>SIM-LAB-01</x:v>
      </x:c>
      <x:c r="J99" s="45" t="str">
        <x:v>人工模拟结果，无对应检测报告</x:v>
      </x:c>
    </x:row>
    <x:row r="100">
      <x:c r="A100" s="54" t="str">
        <x:v>SIM-S016</x:v>
      </x:c>
      <x:c r="B100" s="54" t="str">
        <x:v>Zn</x:v>
      </x:c>
      <x:c r="C100" s="45" t="str">
        <x:v>0.1515</x:v>
      </x:c>
      <x:c r="D100" s="45" t="n">
        <x:v>0.1515</x:v>
      </x:c>
      <x:c r="E100" s="54" t="str">
        <x:v>%</x:v>
      </x:c>
      <x:c r="F100" s="45" t="n">
        <x:v>0.001</x:v>
      </x:c>
      <x:c r="G100" s="45" t="str">
        <x:v>模拟检测法-Zn</x:v>
      </x:c>
      <x:c r="H100" s="63" t="n">
        <x:v>46298</x:v>
      </x:c>
      <x:c r="I100" s="54" t="str">
        <x:v>SIM-LAB-01</x:v>
      </x:c>
      <x:c r="J100" s="45" t="str">
        <x:v>人工模拟结果，无对应检测报告</x:v>
      </x:c>
    </x:row>
    <x:row r="101">
      <x:c r="A101" s="54" t="str">
        <x:v>SIM-S016</x:v>
      </x:c>
      <x:c r="B101" s="54" t="str">
        <x:v>As</x:v>
      </x:c>
      <x:c r="C101" s="45" t="str">
        <x:v>9.7</x:v>
      </x:c>
      <x:c r="D101" s="45" t="n">
        <x:v>9.7</x:v>
      </x:c>
      <x:c r="E101" s="54" t="str">
        <x:v>mg/kg</x:v>
      </x:c>
      <x:c r="F101" s="45" t="n">
        <x:v>1</x:v>
      </x:c>
      <x:c r="G101" s="45" t="str">
        <x:v>模拟检测法-As</x:v>
      </x:c>
      <x:c r="H101" s="63" t="n">
        <x:v>46298</x:v>
      </x:c>
      <x:c r="I101" s="54" t="str">
        <x:v>SIM-LAB-01</x:v>
      </x:c>
      <x:c r="J101" s="45" t="str">
        <x:v>人工模拟结果，无对应检测报告</x:v>
      </x:c>
    </x:row>
    <x:row r="102">
      <x:c r="A102" s="54" t="str">
        <x:v>SIM-S017</x:v>
      </x:c>
      <x:c r="B102" s="54" t="str">
        <x:v>Au</x:v>
      </x:c>
      <x:c r="C102" s="45" t="str">
        <x:v>0.177</x:v>
      </x:c>
      <x:c r="D102" s="45" t="n">
        <x:v>0.177</x:v>
      </x:c>
      <x:c r="E102" s="54" t="str">
        <x:v>mg/kg</x:v>
      </x:c>
      <x:c r="F102" s="45" t="n">
        <x:v>0.005</x:v>
      </x:c>
      <x:c r="G102" s="45" t="str">
        <x:v>模拟检测法-Au</x:v>
      </x:c>
      <x:c r="H102" s="63" t="n">
        <x:v>46298</x:v>
      </x:c>
      <x:c r="I102" s="54" t="str">
        <x:v>SIM-LAB-01</x:v>
      </x:c>
      <x:c r="J102" s="45" t="str">
        <x:v>人工模拟结果，无对应检测报告</x:v>
      </x:c>
    </x:row>
    <x:row r="103">
      <x:c r="A103" s="54" t="str">
        <x:v>SIM-S017</x:v>
      </x:c>
      <x:c r="B103" s="54" t="str">
        <x:v>Ag</x:v>
      </x:c>
      <x:c r="C103" s="45" t="str">
        <x:v>1.71</x:v>
      </x:c>
      <x:c r="D103" s="45" t="n">
        <x:v>1.71</x:v>
      </x:c>
      <x:c r="E103" s="54" t="str">
        <x:v>mg/kg</x:v>
      </x:c>
      <x:c r="F103" s="45" t="n">
        <x:v>0.1</x:v>
      </x:c>
      <x:c r="G103" s="45" t="str">
        <x:v>模拟检测法-Ag</x:v>
      </x:c>
      <x:c r="H103" s="63" t="n">
        <x:v>46298</x:v>
      </x:c>
      <x:c r="I103" s="54" t="str">
        <x:v>SIM-LAB-01</x:v>
      </x:c>
      <x:c r="J103" s="45" t="str">
        <x:v>人工模拟结果，无对应检测报告</x:v>
      </x:c>
    </x:row>
    <x:row r="104">
      <x:c r="A104" s="54" t="str">
        <x:v>SIM-S017</x:v>
      </x:c>
      <x:c r="B104" s="54" t="str">
        <x:v>Cu</x:v>
      </x:c>
      <x:c r="C104" s="45" t="str">
        <x:v>0.0302</x:v>
      </x:c>
      <x:c r="D104" s="45" t="n">
        <x:v>0.0302</x:v>
      </x:c>
      <x:c r="E104" s="54" t="str">
        <x:v>%</x:v>
      </x:c>
      <x:c r="F104" s="45" t="n">
        <x:v>0.001</x:v>
      </x:c>
      <x:c r="G104" s="45" t="str">
        <x:v>模拟检测法-Cu</x:v>
      </x:c>
      <x:c r="H104" s="63" t="n">
        <x:v>46298</x:v>
      </x:c>
      <x:c r="I104" s="54" t="str">
        <x:v>SIM-LAB-01</x:v>
      </x:c>
      <x:c r="J104" s="45" t="str">
        <x:v>人工模拟结果，无对应检测报告</x:v>
      </x:c>
    </x:row>
    <x:row r="105">
      <x:c r="A105" s="54" t="str">
        <x:v>SIM-S017</x:v>
      </x:c>
      <x:c r="B105" s="54" t="str">
        <x:v>Pb</x:v>
      </x:c>
      <x:c r="C105" s="45" t="str">
        <x:v>0.0973</x:v>
      </x:c>
      <x:c r="D105" s="45" t="n">
        <x:v>0.0973</x:v>
      </x:c>
      <x:c r="E105" s="54" t="str">
        <x:v>%</x:v>
      </x:c>
      <x:c r="F105" s="45" t="n">
        <x:v>0.001</x:v>
      </x:c>
      <x:c r="G105" s="45" t="str">
        <x:v>模拟检测法-Pb</x:v>
      </x:c>
      <x:c r="H105" s="63" t="n">
        <x:v>46298</x:v>
      </x:c>
      <x:c r="I105" s="54" t="str">
        <x:v>SIM-LAB-01</x:v>
      </x:c>
      <x:c r="J105" s="45" t="str">
        <x:v>人工模拟结果，无对应检测报告</x:v>
      </x:c>
    </x:row>
    <x:row r="106">
      <x:c r="A106" s="54" t="str">
        <x:v>SIM-S017</x:v>
      </x:c>
      <x:c r="B106" s="54" t="str">
        <x:v>Zn</x:v>
      </x:c>
      <x:c r="C106" s="45" t="str">
        <x:v>0.2171</x:v>
      </x:c>
      <x:c r="D106" s="45" t="n">
        <x:v>0.2171</x:v>
      </x:c>
      <x:c r="E106" s="54" t="str">
        <x:v>%</x:v>
      </x:c>
      <x:c r="F106" s="45" t="n">
        <x:v>0.001</x:v>
      </x:c>
      <x:c r="G106" s="45" t="str">
        <x:v>模拟检测法-Zn</x:v>
      </x:c>
      <x:c r="H106" s="63" t="n">
        <x:v>46298</x:v>
      </x:c>
      <x:c r="I106" s="54" t="str">
        <x:v>SIM-LAB-01</x:v>
      </x:c>
      <x:c r="J106" s="45" t="str">
        <x:v>人工模拟结果，无对应检测报告</x:v>
      </x:c>
    </x:row>
    <x:row r="107">
      <x:c r="A107" s="54" t="str">
        <x:v>SIM-S017</x:v>
      </x:c>
      <x:c r="B107" s="54" t="str">
        <x:v>As</x:v>
      </x:c>
      <x:c r="C107" s="45" t="str">
        <x:v>13.7</x:v>
      </x:c>
      <x:c r="D107" s="45" t="n">
        <x:v>13.7</x:v>
      </x:c>
      <x:c r="E107" s="54" t="str">
        <x:v>mg/kg</x:v>
      </x:c>
      <x:c r="F107" s="45" t="n">
        <x:v>1</x:v>
      </x:c>
      <x:c r="G107" s="45" t="str">
        <x:v>模拟检测法-As</x:v>
      </x:c>
      <x:c r="H107" s="63" t="n">
        <x:v>46298</x:v>
      </x:c>
      <x:c r="I107" s="54" t="str">
        <x:v>SIM-LAB-01</x:v>
      </x:c>
      <x:c r="J107" s="45" t="str">
        <x:v>人工模拟结果，无对应检测报告</x:v>
      </x:c>
    </x:row>
    <x:row r="108">
      <x:c r="A108" s="54" t="str">
        <x:v>SIM-S018</x:v>
      </x:c>
      <x:c r="B108" s="54" t="str">
        <x:v>Au</x:v>
      </x:c>
      <x:c r="C108" s="45" t="str">
        <x:v>0.279</x:v>
      </x:c>
      <x:c r="D108" s="45" t="n">
        <x:v>0.279</x:v>
      </x:c>
      <x:c r="E108" s="54" t="str">
        <x:v>mg/kg</x:v>
      </x:c>
      <x:c r="F108" s="45" t="n">
        <x:v>0.005</x:v>
      </x:c>
      <x:c r="G108" s="45" t="str">
        <x:v>模拟检测法-Au</x:v>
      </x:c>
      <x:c r="H108" s="63" t="n">
        <x:v>46298</x:v>
      </x:c>
      <x:c r="I108" s="54" t="str">
        <x:v>SIM-LAB-01</x:v>
      </x:c>
      <x:c r="J108" s="45" t="str">
        <x:v>人工模拟结果，无对应检测报告</x:v>
      </x:c>
    </x:row>
    <x:row r="109">
      <x:c r="A109" s="54" t="str">
        <x:v>SIM-S018</x:v>
      </x:c>
      <x:c r="B109" s="54" t="str">
        <x:v>Ag</x:v>
      </x:c>
      <x:c r="C109" s="45" t="str">
        <x:v>2.96</x:v>
      </x:c>
      <x:c r="D109" s="45" t="n">
        <x:v>2.96</x:v>
      </x:c>
      <x:c r="E109" s="54" t="str">
        <x:v>mg/kg</x:v>
      </x:c>
      <x:c r="F109" s="45" t="n">
        <x:v>0.1</x:v>
      </x:c>
      <x:c r="G109" s="45" t="str">
        <x:v>模拟检测法-Ag</x:v>
      </x:c>
      <x:c r="H109" s="63" t="n">
        <x:v>46298</x:v>
      </x:c>
      <x:c r="I109" s="54" t="str">
        <x:v>SIM-LAB-01</x:v>
      </x:c>
      <x:c r="J109" s="45" t="str">
        <x:v>人工模拟结果，无对应检测报告</x:v>
      </x:c>
    </x:row>
    <x:row r="110">
      <x:c r="A110" s="54" t="str">
        <x:v>SIM-S018</x:v>
      </x:c>
      <x:c r="B110" s="54" t="str">
        <x:v>Cu</x:v>
      </x:c>
      <x:c r="C110" s="45" t="str">
        <x:v>0.0469</x:v>
      </x:c>
      <x:c r="D110" s="45" t="n">
        <x:v>0.0469</x:v>
      </x:c>
      <x:c r="E110" s="54" t="str">
        <x:v>%</x:v>
      </x:c>
      <x:c r="F110" s="45" t="n">
        <x:v>0.001</x:v>
      </x:c>
      <x:c r="G110" s="45" t="str">
        <x:v>模拟检测法-Cu</x:v>
      </x:c>
      <x:c r="H110" s="63" t="n">
        <x:v>46298</x:v>
      </x:c>
      <x:c r="I110" s="54" t="str">
        <x:v>SIM-LAB-01</x:v>
      </x:c>
      <x:c r="J110" s="45" t="str">
        <x:v>人工模拟结果，无对应检测报告</x:v>
      </x:c>
    </x:row>
    <x:row r="111">
      <x:c r="A111" s="54" t="str">
        <x:v>SIM-S018</x:v>
      </x:c>
      <x:c r="B111" s="54" t="str">
        <x:v>Pb</x:v>
      </x:c>
      <x:c r="C111" s="45" t="str">
        <x:v>0.1631</x:v>
      </x:c>
      <x:c r="D111" s="45" t="n">
        <x:v>0.1631</x:v>
      </x:c>
      <x:c r="E111" s="54" t="str">
        <x:v>%</x:v>
      </x:c>
      <x:c r="F111" s="45" t="n">
        <x:v>0.001</x:v>
      </x:c>
      <x:c r="G111" s="45" t="str">
        <x:v>模拟检测法-Pb</x:v>
      </x:c>
      <x:c r="H111" s="63" t="n">
        <x:v>46298</x:v>
      </x:c>
      <x:c r="I111" s="54" t="str">
        <x:v>SIM-LAB-01</x:v>
      </x:c>
      <x:c r="J111" s="45" t="str">
        <x:v>人工模拟结果，无对应检测报告</x:v>
      </x:c>
    </x:row>
    <x:row r="112">
      <x:c r="A112" s="54" t="str">
        <x:v>SIM-S018</x:v>
      </x:c>
      <x:c r="B112" s="54" t="str">
        <x:v>Zn</x:v>
      </x:c>
      <x:c r="C112" s="45" t="str">
        <x:v>0.3376</x:v>
      </x:c>
      <x:c r="D112" s="45" t="n">
        <x:v>0.3376</x:v>
      </x:c>
      <x:c r="E112" s="54" t="str">
        <x:v>%</x:v>
      </x:c>
      <x:c r="F112" s="45" t="n">
        <x:v>0.001</x:v>
      </x:c>
      <x:c r="G112" s="45" t="str">
        <x:v>模拟检测法-Zn</x:v>
      </x:c>
      <x:c r="H112" s="63" t="n">
        <x:v>46298</x:v>
      </x:c>
      <x:c r="I112" s="54" t="str">
        <x:v>SIM-LAB-01</x:v>
      </x:c>
      <x:c r="J112" s="45" t="str">
        <x:v>人工模拟结果，无对应检测报告</x:v>
      </x:c>
    </x:row>
    <x:row r="113">
      <x:c r="A113" s="54" t="str">
        <x:v>SIM-S018</x:v>
      </x:c>
      <x:c r="B113" s="54" t="str">
        <x:v>As</x:v>
      </x:c>
      <x:c r="C113" s="45" t="str">
        <x:v>19.9</x:v>
      </x:c>
      <x:c r="D113" s="45" t="n">
        <x:v>19.9</x:v>
      </x:c>
      <x:c r="E113" s="54" t="str">
        <x:v>mg/kg</x:v>
      </x:c>
      <x:c r="F113" s="45" t="n">
        <x:v>1</x:v>
      </x:c>
      <x:c r="G113" s="45" t="str">
        <x:v>模拟检测法-As</x:v>
      </x:c>
      <x:c r="H113" s="63" t="n">
        <x:v>46298</x:v>
      </x:c>
      <x:c r="I113" s="54" t="str">
        <x:v>SIM-LAB-01</x:v>
      </x:c>
      <x:c r="J113" s="45" t="str">
        <x:v>人工模拟结果，无对应检测报告</x:v>
      </x:c>
    </x:row>
    <x:row r="114">
      <x:c r="A114" s="54" t="str">
        <x:v>SIM-S019</x:v>
      </x:c>
      <x:c r="B114" s="54" t="str">
        <x:v>Au</x:v>
      </x:c>
      <x:c r="C114" s="45" t="str">
        <x:v>0.462</x:v>
      </x:c>
      <x:c r="D114" s="45" t="n">
        <x:v>0.462</x:v>
      </x:c>
      <x:c r="E114" s="54" t="str">
        <x:v>mg/kg</x:v>
      </x:c>
      <x:c r="F114" s="45" t="n">
        <x:v>0.005</x:v>
      </x:c>
      <x:c r="G114" s="45" t="str">
        <x:v>模拟检测法-Au</x:v>
      </x:c>
      <x:c r="H114" s="63" t="n">
        <x:v>46298</x:v>
      </x:c>
      <x:c r="I114" s="54" t="str">
        <x:v>SIM-LAB-01</x:v>
      </x:c>
      <x:c r="J114" s="45" t="str">
        <x:v>人工模拟结果，无对应检测报告</x:v>
      </x:c>
    </x:row>
    <x:row r="115">
      <x:c r="A115" s="54" t="str">
        <x:v>SIM-S019</x:v>
      </x:c>
      <x:c r="B115" s="54" t="str">
        <x:v>Ag</x:v>
      </x:c>
      <x:c r="C115" s="45" t="str">
        <x:v>4.87</x:v>
      </x:c>
      <x:c r="D115" s="45" t="n">
        <x:v>4.87</x:v>
      </x:c>
      <x:c r="E115" s="54" t="str">
        <x:v>mg/kg</x:v>
      </x:c>
      <x:c r="F115" s="45" t="n">
        <x:v>0.1</x:v>
      </x:c>
      <x:c r="G115" s="45" t="str">
        <x:v>模拟检测法-Ag</x:v>
      </x:c>
      <x:c r="H115" s="63" t="n">
        <x:v>46298</x:v>
      </x:c>
      <x:c r="I115" s="54" t="str">
        <x:v>SIM-LAB-01</x:v>
      </x:c>
      <x:c r="J115" s="45" t="str">
        <x:v>人工模拟结果，无对应检测报告</x:v>
      </x:c>
    </x:row>
    <x:row r="116">
      <x:c r="A116" s="54" t="str">
        <x:v>SIM-S019</x:v>
      </x:c>
      <x:c r="B116" s="54" t="str">
        <x:v>Cu</x:v>
      </x:c>
      <x:c r="C116" s="45" t="str">
        <x:v>0.0721</x:v>
      </x:c>
      <x:c r="D116" s="45" t="n">
        <x:v>0.0721</x:v>
      </x:c>
      <x:c r="E116" s="54" t="str">
        <x:v>%</x:v>
      </x:c>
      <x:c r="F116" s="45" t="n">
        <x:v>0.001</x:v>
      </x:c>
      <x:c r="G116" s="45" t="str">
        <x:v>模拟检测法-Cu</x:v>
      </x:c>
      <x:c r="H116" s="63" t="n">
        <x:v>46298</x:v>
      </x:c>
      <x:c r="I116" s="54" t="str">
        <x:v>SIM-LAB-01</x:v>
      </x:c>
      <x:c r="J116" s="45" t="str">
        <x:v>人工模拟结果，无对应检测报告</x:v>
      </x:c>
    </x:row>
    <x:row r="117">
      <x:c r="A117" s="54" t="str">
        <x:v>SIM-S019</x:v>
      </x:c>
      <x:c r="B117" s="54" t="str">
        <x:v>Pb</x:v>
      </x:c>
      <x:c r="C117" s="45" t="str">
        <x:v>0.2662</x:v>
      </x:c>
      <x:c r="D117" s="45" t="n">
        <x:v>0.2662</x:v>
      </x:c>
      <x:c r="E117" s="54" t="str">
        <x:v>%</x:v>
      </x:c>
      <x:c r="F117" s="45" t="n">
        <x:v>0.001</x:v>
      </x:c>
      <x:c r="G117" s="45" t="str">
        <x:v>模拟检测法-Pb</x:v>
      </x:c>
      <x:c r="H117" s="63" t="n">
        <x:v>46298</x:v>
      </x:c>
      <x:c r="I117" s="54" t="str">
        <x:v>SIM-LAB-01</x:v>
      </x:c>
      <x:c r="J117" s="45" t="str">
        <x:v>人工模拟结果，无对应检测报告</x:v>
      </x:c>
    </x:row>
    <x:row r="118">
      <x:c r="A118" s="54" t="str">
        <x:v>SIM-S019</x:v>
      </x:c>
      <x:c r="B118" s="54" t="str">
        <x:v>Zn</x:v>
      </x:c>
      <x:c r="C118" s="45" t="str">
        <x:v>0.5367</x:v>
      </x:c>
      <x:c r="D118" s="45" t="n">
        <x:v>0.5367</x:v>
      </x:c>
      <x:c r="E118" s="54" t="str">
        <x:v>%</x:v>
      </x:c>
      <x:c r="F118" s="45" t="n">
        <x:v>0.001</x:v>
      </x:c>
      <x:c r="G118" s="45" t="str">
        <x:v>模拟检测法-Zn</x:v>
      </x:c>
      <x:c r="H118" s="63" t="n">
        <x:v>46298</x:v>
      </x:c>
      <x:c r="I118" s="54" t="str">
        <x:v>SIM-LAB-01</x:v>
      </x:c>
      <x:c r="J118" s="45" t="str">
        <x:v>人工模拟结果，无对应检测报告</x:v>
      </x:c>
    </x:row>
    <x:row r="119">
      <x:c r="A119" s="54" t="str">
        <x:v>SIM-S019</x:v>
      </x:c>
      <x:c r="B119" s="54" t="str">
        <x:v>As</x:v>
      </x:c>
      <x:c r="C119" s="45" t="str">
        <x:v>29.0</x:v>
      </x:c>
      <x:c r="D119" s="45" t="n">
        <x:v>29</x:v>
      </x:c>
      <x:c r="E119" s="54" t="str">
        <x:v>mg/kg</x:v>
      </x:c>
      <x:c r="F119" s="45" t="n">
        <x:v>1</x:v>
      </x:c>
      <x:c r="G119" s="45" t="str">
        <x:v>模拟检测法-As</x:v>
      </x:c>
      <x:c r="H119" s="63" t="n">
        <x:v>46298</x:v>
      </x:c>
      <x:c r="I119" s="54" t="str">
        <x:v>SIM-LAB-01</x:v>
      </x:c>
      <x:c r="J119" s="45" t="str">
        <x:v>人工模拟结果，无对应检测报告</x:v>
      </x:c>
    </x:row>
    <x:row r="120">
      <x:c r="A120" s="54" t="str">
        <x:v>SIM-S020</x:v>
      </x:c>
      <x:c r="B120" s="54" t="str">
        <x:v>Au</x:v>
      </x:c>
      <x:c r="C120" s="45" t="str">
        <x:v>0.736</x:v>
      </x:c>
      <x:c r="D120" s="45" t="n">
        <x:v>0.736</x:v>
      </x:c>
      <x:c r="E120" s="54" t="str">
        <x:v>mg/kg</x:v>
      </x:c>
      <x:c r="F120" s="45" t="n">
        <x:v>0.005</x:v>
      </x:c>
      <x:c r="G120" s="45" t="str">
        <x:v>模拟检测法-Au</x:v>
      </x:c>
      <x:c r="H120" s="63" t="n">
        <x:v>46298</x:v>
      </x:c>
      <x:c r="I120" s="54" t="str">
        <x:v>SIM-LAB-01</x:v>
      </x:c>
      <x:c r="J120" s="45" t="str">
        <x:v>人工模拟结果，无对应检测报告</x:v>
      </x:c>
    </x:row>
    <x:row r="121">
      <x:c r="A121" s="54" t="str">
        <x:v>SIM-S020</x:v>
      </x:c>
      <x:c r="B121" s="54" t="str">
        <x:v>Ag</x:v>
      </x:c>
      <x:c r="C121" s="45" t="str">
        <x:v>7.21</x:v>
      </x:c>
      <x:c r="D121" s="45" t="n">
        <x:v>7.21</x:v>
      </x:c>
      <x:c r="E121" s="54" t="str">
        <x:v>mg/kg</x:v>
      </x:c>
      <x:c r="F121" s="45" t="n">
        <x:v>0.1</x:v>
      </x:c>
      <x:c r="G121" s="45" t="str">
        <x:v>模拟检测法-Ag</x:v>
      </x:c>
      <x:c r="H121" s="63" t="n">
        <x:v>46298</x:v>
      </x:c>
      <x:c r="I121" s="54" t="str">
        <x:v>SIM-LAB-01</x:v>
      </x:c>
      <x:c r="J121" s="45" t="str">
        <x:v>人工模拟结果，无对应检测报告</x:v>
      </x:c>
    </x:row>
    <x:row r="122">
      <x:c r="A122" s="54" t="str">
        <x:v>SIM-S020</x:v>
      </x:c>
      <x:c r="B122" s="54" t="str">
        <x:v>Cu</x:v>
      </x:c>
      <x:c r="C122" s="45" t="str">
        <x:v>0.1076</x:v>
      </x:c>
      <x:c r="D122" s="45" t="n">
        <x:v>0.1076</x:v>
      </x:c>
      <x:c r="E122" s="54" t="str">
        <x:v>%</x:v>
      </x:c>
      <x:c r="F122" s="45" t="n">
        <x:v>0.001</x:v>
      </x:c>
      <x:c r="G122" s="45" t="str">
        <x:v>模拟检测法-Cu</x:v>
      </x:c>
      <x:c r="H122" s="63" t="n">
        <x:v>46298</x:v>
      </x:c>
      <x:c r="I122" s="54" t="str">
        <x:v>SIM-LAB-01</x:v>
      </x:c>
      <x:c r="J122" s="45" t="str">
        <x:v>人工模拟结果，无对应检测报告</x:v>
      </x:c>
    </x:row>
    <x:row r="123">
      <x:c r="A123" s="54" t="str">
        <x:v>SIM-S020</x:v>
      </x:c>
      <x:c r="B123" s="54" t="str">
        <x:v>Pb</x:v>
      </x:c>
      <x:c r="C123" s="45" t="str">
        <x:v>0.4145</x:v>
      </x:c>
      <x:c r="D123" s="45" t="n">
        <x:v>0.4145</x:v>
      </x:c>
      <x:c r="E123" s="54" t="str">
        <x:v>%</x:v>
      </x:c>
      <x:c r="F123" s="45" t="n">
        <x:v>0.001</x:v>
      </x:c>
      <x:c r="G123" s="45" t="str">
        <x:v>模拟检测法-Pb</x:v>
      </x:c>
      <x:c r="H123" s="63" t="n">
        <x:v>46298</x:v>
      </x:c>
      <x:c r="I123" s="54" t="str">
        <x:v>SIM-LAB-01</x:v>
      </x:c>
      <x:c r="J123" s="45" t="str">
        <x:v>人工模拟结果，无对应检测报告</x:v>
      </x:c>
    </x:row>
    <x:row r="124">
      <x:c r="A124" s="54" t="str">
        <x:v>SIM-S020</x:v>
      </x:c>
      <x:c r="B124" s="54" t="str">
        <x:v>Zn</x:v>
      </x:c>
      <x:c r="C124" s="45" t="str">
        <x:v>0.8325</x:v>
      </x:c>
      <x:c r="D124" s="45" t="n">
        <x:v>0.8325</x:v>
      </x:c>
      <x:c r="E124" s="54" t="str">
        <x:v>%</x:v>
      </x:c>
      <x:c r="F124" s="45" t="n">
        <x:v>0.001</x:v>
      </x:c>
      <x:c r="G124" s="45" t="str">
        <x:v>模拟检测法-Zn</x:v>
      </x:c>
      <x:c r="H124" s="63" t="n">
        <x:v>46298</x:v>
      </x:c>
      <x:c r="I124" s="54" t="str">
        <x:v>SIM-LAB-01</x:v>
      </x:c>
      <x:c r="J124" s="45" t="str">
        <x:v>人工模拟结果，无对应检测报告</x:v>
      </x:c>
    </x:row>
    <x:row r="125">
      <x:c r="A125" s="54" t="str">
        <x:v>SIM-S020</x:v>
      </x:c>
      <x:c r="B125" s="54" t="str">
        <x:v>As</x:v>
      </x:c>
      <x:c r="C125" s="45" t="str">
        <x:v>41.6</x:v>
      </x:c>
      <x:c r="D125" s="45" t="n">
        <x:v>41.6</x:v>
      </x:c>
      <x:c r="E125" s="54" t="str">
        <x:v>mg/kg</x:v>
      </x:c>
      <x:c r="F125" s="45" t="n">
        <x:v>1</x:v>
      </x:c>
      <x:c r="G125" s="45" t="str">
        <x:v>模拟检测法-As</x:v>
      </x:c>
      <x:c r="H125" s="63" t="n">
        <x:v>46298</x:v>
      </x:c>
      <x:c r="I125" s="54" t="str">
        <x:v>SIM-LAB-01</x:v>
      </x:c>
      <x:c r="J125" s="45" t="str">
        <x:v>人工模拟结果，无对应检测报告</x:v>
      </x:c>
    </x:row>
    <x:row r="126">
      <x:c r="A126" s="54" t="str">
        <x:v>SIM-S021</x:v>
      </x:c>
      <x:c r="B126" s="54" t="str">
        <x:v>Au</x:v>
      </x:c>
      <x:c r="C126" s="45" t="str">
        <x:v>1.089</x:v>
      </x:c>
      <x:c r="D126" s="45" t="n">
        <x:v>1.089</x:v>
      </x:c>
      <x:c r="E126" s="54" t="str">
        <x:v>mg/kg</x:v>
      </x:c>
      <x:c r="F126" s="45" t="n">
        <x:v>0.005</x:v>
      </x:c>
      <x:c r="G126" s="45" t="str">
        <x:v>模拟检测法-Au</x:v>
      </x:c>
      <x:c r="H126" s="63" t="n">
        <x:v>46298</x:v>
      </x:c>
      <x:c r="I126" s="54" t="str">
        <x:v>SIM-LAB-01</x:v>
      </x:c>
      <x:c r="J126" s="45" t="str">
        <x:v>人工模拟结果，无对应检测报告</x:v>
      </x:c>
    </x:row>
    <x:row r="127">
      <x:c r="A127" s="54" t="str">
        <x:v>SIM-S021</x:v>
      </x:c>
      <x:c r="B127" s="54" t="str">
        <x:v>Ag</x:v>
      </x:c>
      <x:c r="C127" s="45" t="str">
        <x:v>9.89</x:v>
      </x:c>
      <x:c r="D127" s="45" t="n">
        <x:v>9.89</x:v>
      </x:c>
      <x:c r="E127" s="54" t="str">
        <x:v>mg/kg</x:v>
      </x:c>
      <x:c r="F127" s="45" t="n">
        <x:v>0.1</x:v>
      </x:c>
      <x:c r="G127" s="45" t="str">
        <x:v>模拟检测法-Ag</x:v>
      </x:c>
      <x:c r="H127" s="63" t="n">
        <x:v>46298</x:v>
      </x:c>
      <x:c r="I127" s="54" t="str">
        <x:v>SIM-LAB-01</x:v>
      </x:c>
      <x:c r="J127" s="45" t="str">
        <x:v>人工模拟结果，无对应检测报告</x:v>
      </x:c>
    </x:row>
    <x:row r="128">
      <x:c r="A128" s="54" t="str">
        <x:v>SIM-S021</x:v>
      </x:c>
      <x:c r="B128" s="54" t="str">
        <x:v>Cu</x:v>
      </x:c>
      <x:c r="C128" s="45" t="str">
        <x:v>0.1538</x:v>
      </x:c>
      <x:c r="D128" s="45" t="n">
        <x:v>0.1538</x:v>
      </x:c>
      <x:c r="E128" s="54" t="str">
        <x:v>%</x:v>
      </x:c>
      <x:c r="F128" s="45" t="n">
        <x:v>0.001</x:v>
      </x:c>
      <x:c r="G128" s="45" t="str">
        <x:v>模拟检测法-Cu</x:v>
      </x:c>
      <x:c r="H128" s="63" t="n">
        <x:v>46298</x:v>
      </x:c>
      <x:c r="I128" s="54" t="str">
        <x:v>SIM-LAB-01</x:v>
      </x:c>
      <x:c r="J128" s="45" t="str">
        <x:v>人工模拟结果，无对应检测报告</x:v>
      </x:c>
    </x:row>
    <x:row r="129">
      <x:c r="A129" s="54" t="str">
        <x:v>SIM-S021</x:v>
      </x:c>
      <x:c r="B129" s="54" t="str">
        <x:v>Pb</x:v>
      </x:c>
      <x:c r="C129" s="45" t="str">
        <x:v>0.6101</x:v>
      </x:c>
      <x:c r="D129" s="45" t="n">
        <x:v>0.6101</x:v>
      </x:c>
      <x:c r="E129" s="54" t="str">
        <x:v>%</x:v>
      </x:c>
      <x:c r="F129" s="45" t="n">
        <x:v>0.001</x:v>
      </x:c>
      <x:c r="G129" s="45" t="str">
        <x:v>模拟检测法-Pb</x:v>
      </x:c>
      <x:c r="H129" s="63" t="n">
        <x:v>46298</x:v>
      </x:c>
      <x:c r="I129" s="54" t="str">
        <x:v>SIM-LAB-01</x:v>
      </x:c>
      <x:c r="J129" s="45" t="str">
        <x:v>人工模拟结果，无对应检测报告</x:v>
      </x:c>
    </x:row>
    <x:row r="130">
      <x:c r="A130" s="54" t="str">
        <x:v>SIM-S021</x:v>
      </x:c>
      <x:c r="B130" s="54" t="str">
        <x:v>Zn</x:v>
      </x:c>
      <x:c r="C130" s="45" t="str">
        <x:v>1.2285</x:v>
      </x:c>
      <x:c r="D130" s="45" t="n">
        <x:v>1.2285</x:v>
      </x:c>
      <x:c r="E130" s="54" t="str">
        <x:v>%</x:v>
      </x:c>
      <x:c r="F130" s="45" t="n">
        <x:v>0.001</x:v>
      </x:c>
      <x:c r="G130" s="45" t="str">
        <x:v>模拟检测法-Zn</x:v>
      </x:c>
      <x:c r="H130" s="63" t="n">
        <x:v>46298</x:v>
      </x:c>
      <x:c r="I130" s="54" t="str">
        <x:v>SIM-LAB-01</x:v>
      </x:c>
      <x:c r="J130" s="45" t="str">
        <x:v>人工模拟结果，无对应检测报告</x:v>
      </x:c>
    </x:row>
    <x:row r="131">
      <x:c r="A131" s="54" t="str">
        <x:v>SIM-S021</x:v>
      </x:c>
      <x:c r="B131" s="54" t="str">
        <x:v>As</x:v>
      </x:c>
      <x:c r="C131" s="45" t="str">
        <x:v>57.7</x:v>
      </x:c>
      <x:c r="D131" s="45" t="n">
        <x:v>57.7</x:v>
      </x:c>
      <x:c r="E131" s="54" t="str">
        <x:v>mg/kg</x:v>
      </x:c>
      <x:c r="F131" s="45" t="n">
        <x:v>1</x:v>
      </x:c>
      <x:c r="G131" s="45" t="str">
        <x:v>模拟检测法-As</x:v>
      </x:c>
      <x:c r="H131" s="63" t="n">
        <x:v>46298</x:v>
      </x:c>
      <x:c r="I131" s="54" t="str">
        <x:v>SIM-LAB-01</x:v>
      </x:c>
      <x:c r="J131" s="45" t="str">
        <x:v>人工模拟结果，无对应检测报告</x:v>
      </x:c>
    </x:row>
    <x:row r="132">
      <x:c r="A132" s="54" t="str">
        <x:v>SIM-S022</x:v>
      </x:c>
      <x:c r="B132" s="54" t="str">
        <x:v>Au</x:v>
      </x:c>
      <x:c r="C132" s="45" t="str">
        <x:v>1.495</x:v>
      </x:c>
      <x:c r="D132" s="45" t="n">
        <x:v>1.495</x:v>
      </x:c>
      <x:c r="E132" s="54" t="str">
        <x:v>mg/kg</x:v>
      </x:c>
      <x:c r="F132" s="45" t="n">
        <x:v>0.005</x:v>
      </x:c>
      <x:c r="G132" s="45" t="str">
        <x:v>模拟检测法-Au</x:v>
      </x:c>
      <x:c r="H132" s="63" t="n">
        <x:v>46298</x:v>
      </x:c>
      <x:c r="I132" s="54" t="str">
        <x:v>SIM-LAB-01</x:v>
      </x:c>
      <x:c r="J132" s="45" t="str">
        <x:v>人工模拟结果，无对应检测报告</x:v>
      </x:c>
    </x:row>
    <x:row r="133">
      <x:c r="A133" s="54" t="str">
        <x:v>SIM-S022</x:v>
      </x:c>
      <x:c r="B133" s="54" t="str">
        <x:v>Ag</x:v>
      </x:c>
      <x:c r="C133" s="45" t="str">
        <x:v>13.0</x:v>
      </x:c>
      <x:c r="D133" s="45" t="n">
        <x:v>13</x:v>
      </x:c>
      <x:c r="E133" s="54" t="str">
        <x:v>mg/kg</x:v>
      </x:c>
      <x:c r="F133" s="45" t="n">
        <x:v>0.1</x:v>
      </x:c>
      <x:c r="G133" s="45" t="str">
        <x:v>模拟检测法-Ag</x:v>
      </x:c>
      <x:c r="H133" s="63" t="n">
        <x:v>46298</x:v>
      </x:c>
      <x:c r="I133" s="54" t="str">
        <x:v>SIM-LAB-01</x:v>
      </x:c>
      <x:c r="J133" s="45" t="str">
        <x:v>人工模拟结果，无对应检测报告</x:v>
      </x:c>
    </x:row>
    <x:row r="134">
      <x:c r="A134" s="54" t="str">
        <x:v>SIM-S022</x:v>
      </x:c>
      <x:c r="B134" s="54" t="str">
        <x:v>Cu</x:v>
      </x:c>
      <x:c r="C134" s="45" t="str">
        <x:v>0.2086</x:v>
      </x:c>
      <x:c r="D134" s="45" t="n">
        <x:v>0.2086</x:v>
      </x:c>
      <x:c r="E134" s="54" t="str">
        <x:v>%</x:v>
      </x:c>
      <x:c r="F134" s="45" t="n">
        <x:v>0.001</x:v>
      </x:c>
      <x:c r="G134" s="45" t="str">
        <x:v>模拟检测法-Cu</x:v>
      </x:c>
      <x:c r="H134" s="63" t="n">
        <x:v>46298</x:v>
      </x:c>
      <x:c r="I134" s="54" t="str">
        <x:v>SIM-LAB-01</x:v>
      </x:c>
      <x:c r="J134" s="45" t="str">
        <x:v>人工模拟结果，无对应检测报告</x:v>
      </x:c>
    </x:row>
    <x:row r="135">
      <x:c r="A135" s="54" t="str">
        <x:v>SIM-S022</x:v>
      </x:c>
      <x:c r="B135" s="54" t="str">
        <x:v>Pb</x:v>
      </x:c>
      <x:c r="C135" s="45" t="str">
        <x:v>0.8443</x:v>
      </x:c>
      <x:c r="D135" s="45" t="n">
        <x:v>0.8443</x:v>
      </x:c>
      <x:c r="E135" s="54" t="str">
        <x:v>%</x:v>
      </x:c>
      <x:c r="F135" s="45" t="n">
        <x:v>0.001</x:v>
      </x:c>
      <x:c r="G135" s="45" t="str">
        <x:v>模拟检测法-Pb</x:v>
      </x:c>
      <x:c r="H135" s="63" t="n">
        <x:v>46298</x:v>
      </x:c>
      <x:c r="I135" s="54" t="str">
        <x:v>SIM-LAB-01</x:v>
      </x:c>
      <x:c r="J135" s="45" t="str">
        <x:v>人工模拟结果，无对应检测报告</x:v>
      </x:c>
    </x:row>
    <x:row r="136">
      <x:c r="A136" s="54" t="str">
        <x:v>SIM-S022</x:v>
      </x:c>
      <x:c r="B136" s="54" t="str">
        <x:v>Zn</x:v>
      </x:c>
      <x:c r="C136" s="45" t="str">
        <x:v>1.7052</x:v>
      </x:c>
      <x:c r="D136" s="45" t="n">
        <x:v>1.7052</x:v>
      </x:c>
      <x:c r="E136" s="54" t="str">
        <x:v>%</x:v>
      </x:c>
      <x:c r="F136" s="45" t="n">
        <x:v>0.001</x:v>
      </x:c>
      <x:c r="G136" s="45" t="str">
        <x:v>模拟检测法-Zn</x:v>
      </x:c>
      <x:c r="H136" s="63" t="n">
        <x:v>46298</x:v>
      </x:c>
      <x:c r="I136" s="54" t="str">
        <x:v>SIM-LAB-01</x:v>
      </x:c>
      <x:c r="J136" s="45" t="str">
        <x:v>人工模拟结果，无对应检测报告</x:v>
      </x:c>
    </x:row>
    <x:row r="137">
      <x:c r="A137" s="54" t="str">
        <x:v>SIM-S022</x:v>
      </x:c>
      <x:c r="B137" s="54" t="str">
        <x:v>As</x:v>
      </x:c>
      <x:c r="C137" s="45" t="str">
        <x:v>76.7</x:v>
      </x:c>
      <x:c r="D137" s="45" t="n">
        <x:v>76.7</x:v>
      </x:c>
      <x:c r="E137" s="54" t="str">
        <x:v>mg/kg</x:v>
      </x:c>
      <x:c r="F137" s="45" t="n">
        <x:v>1</x:v>
      </x:c>
      <x:c r="G137" s="45" t="str">
        <x:v>模拟检测法-As</x:v>
      </x:c>
      <x:c r="H137" s="63" t="n">
        <x:v>46298</x:v>
      </x:c>
      <x:c r="I137" s="54" t="str">
        <x:v>SIM-LAB-01</x:v>
      </x:c>
      <x:c r="J137" s="45" t="str">
        <x:v>人工模拟结果，无对应检测报告</x:v>
      </x:c>
    </x:row>
    <x:row r="138">
      <x:c r="A138" s="54" t="str">
        <x:v>SIM-S023</x:v>
      </x:c>
      <x:c r="B138" s="54" t="str">
        <x:v>Au</x:v>
      </x:c>
      <x:c r="C138" s="45" t="str">
        <x:v>1.918</x:v>
      </x:c>
      <x:c r="D138" s="45" t="n">
        <x:v>1.918</x:v>
      </x:c>
      <x:c r="E138" s="54" t="str">
        <x:v>mg/kg</x:v>
      </x:c>
      <x:c r="F138" s="45" t="n">
        <x:v>0.005</x:v>
      </x:c>
      <x:c r="G138" s="45" t="str">
        <x:v>模拟检测法-Au</x:v>
      </x:c>
      <x:c r="H138" s="63" t="n">
        <x:v>46298</x:v>
      </x:c>
      <x:c r="I138" s="54" t="str">
        <x:v>SIM-LAB-01</x:v>
      </x:c>
      <x:c r="J138" s="45" t="str">
        <x:v>人工模拟结果，无对应检测报告</x:v>
      </x:c>
    </x:row>
    <x:row r="139">
      <x:c r="A139" s="54" t="str">
        <x:v>SIM-S023</x:v>
      </x:c>
      <x:c r="B139" s="54" t="str">
        <x:v>Ag</x:v>
      </x:c>
      <x:c r="C139" s="45" t="str">
        <x:v>16.57</x:v>
      </x:c>
      <x:c r="D139" s="45" t="n">
        <x:v>16.57</x:v>
      </x:c>
      <x:c r="E139" s="54" t="str">
        <x:v>mg/kg</x:v>
      </x:c>
      <x:c r="F139" s="45" t="n">
        <x:v>0.1</x:v>
      </x:c>
      <x:c r="G139" s="45" t="str">
        <x:v>模拟检测法-Ag</x:v>
      </x:c>
      <x:c r="H139" s="63" t="n">
        <x:v>46298</x:v>
      </x:c>
      <x:c r="I139" s="54" t="str">
        <x:v>SIM-LAB-01</x:v>
      </x:c>
      <x:c r="J139" s="45" t="str">
        <x:v>人工模拟结果，无对应检测报告</x:v>
      </x:c>
    </x:row>
    <x:row r="140">
      <x:c r="A140" s="54" t="str">
        <x:v>SIM-S023</x:v>
      </x:c>
      <x:c r="B140" s="54" t="str">
        <x:v>Cu</x:v>
      </x:c>
      <x:c r="C140" s="45" t="str">
        <x:v>0.2672</x:v>
      </x:c>
      <x:c r="D140" s="45" t="n">
        <x:v>0.2672</x:v>
      </x:c>
      <x:c r="E140" s="54" t="str">
        <x:v>%</x:v>
      </x:c>
      <x:c r="F140" s="45" t="n">
        <x:v>0.001</x:v>
      </x:c>
      <x:c r="G140" s="45" t="str">
        <x:v>模拟检测法-Cu</x:v>
      </x:c>
      <x:c r="H140" s="63" t="n">
        <x:v>46298</x:v>
      </x:c>
      <x:c r="I140" s="54" t="str">
        <x:v>SIM-LAB-01</x:v>
      </x:c>
      <x:c r="J140" s="45" t="str">
        <x:v>人工模拟结果，无对应检测报告</x:v>
      </x:c>
    </x:row>
    <x:row r="141">
      <x:c r="A141" s="54" t="str">
        <x:v>SIM-S023</x:v>
      </x:c>
      <x:c r="B141" s="54" t="str">
        <x:v>Pb</x:v>
      </x:c>
      <x:c r="C141" s="45" t="str">
        <x:v>1.0962</x:v>
      </x:c>
      <x:c r="D141" s="45" t="n">
        <x:v>1.0962</x:v>
      </x:c>
      <x:c r="E141" s="54" t="str">
        <x:v>%</x:v>
      </x:c>
      <x:c r="F141" s="45" t="n">
        <x:v>0.001</x:v>
      </x:c>
      <x:c r="G141" s="45" t="str">
        <x:v>模拟检测法-Pb</x:v>
      </x:c>
      <x:c r="H141" s="63" t="n">
        <x:v>46298</x:v>
      </x:c>
      <x:c r="I141" s="54" t="str">
        <x:v>SIM-LAB-01</x:v>
      </x:c>
      <x:c r="J141" s="45" t="str">
        <x:v>人工模拟结果，无对应检测报告</x:v>
      </x:c>
    </x:row>
    <x:row r="142">
      <x:c r="A142" s="54" t="str">
        <x:v>SIM-S023</x:v>
      </x:c>
      <x:c r="B142" s="54" t="str">
        <x:v>Zn</x:v>
      </x:c>
      <x:c r="C142" s="45" t="str">
        <x:v>2.2165</x:v>
      </x:c>
      <x:c r="D142" s="45" t="n">
        <x:v>2.2165</x:v>
      </x:c>
      <x:c r="E142" s="54" t="str">
        <x:v>%</x:v>
      </x:c>
      <x:c r="F142" s="45" t="n">
        <x:v>0.001</x:v>
      </x:c>
      <x:c r="G142" s="45" t="str">
        <x:v>模拟检测法-Zn</x:v>
      </x:c>
      <x:c r="H142" s="63" t="n">
        <x:v>46298</x:v>
      </x:c>
      <x:c r="I142" s="54" t="str">
        <x:v>SIM-LAB-01</x:v>
      </x:c>
      <x:c r="J142" s="45" t="str">
        <x:v>人工模拟结果，无对应检测报告</x:v>
      </x:c>
    </x:row>
    <x:row r="143">
      <x:c r="A143" s="54" t="str">
        <x:v>SIM-S023</x:v>
      </x:c>
      <x:c r="B143" s="54" t="str">
        <x:v>As</x:v>
      </x:c>
      <x:c r="C143" s="45" t="str">
        <x:v>96.9</x:v>
      </x:c>
      <x:c r="D143" s="45" t="n">
        <x:v>96.9</x:v>
      </x:c>
      <x:c r="E143" s="54" t="str">
        <x:v>mg/kg</x:v>
      </x:c>
      <x:c r="F143" s="45" t="n">
        <x:v>1</x:v>
      </x:c>
      <x:c r="G143" s="45" t="str">
        <x:v>模拟检测法-As</x:v>
      </x:c>
      <x:c r="H143" s="63" t="n">
        <x:v>46298</x:v>
      </x:c>
      <x:c r="I143" s="54" t="str">
        <x:v>SIM-LAB-01</x:v>
      </x:c>
      <x:c r="J143" s="45" t="str">
        <x:v>人工模拟结果，无对应检测报告</x:v>
      </x:c>
    </x:row>
    <x:row r="144">
      <x:c r="A144" s="54" t="str">
        <x:v>SIM-S024</x:v>
      </x:c>
      <x:c r="B144" s="54" t="str">
        <x:v>Au</x:v>
      </x:c>
      <x:c r="C144" s="45" t="str">
        <x:v>&lt;0.005</x:v>
      </x:c>
      <x:c r="D144" s="45"/>
      <x:c r="E144" s="54" t="str">
        <x:v>mg/kg</x:v>
      </x:c>
      <x:c r="F144" s="45" t="n">
        <x:v>0.005</x:v>
      </x:c>
      <x:c r="G144" s="45" t="str">
        <x:v>模拟检测法-Au</x:v>
      </x:c>
      <x:c r="H144" s="63" t="n">
        <x:v>46298</x:v>
      </x:c>
      <x:c r="I144" s="54" t="str">
        <x:v>SIM-LAB-01</x:v>
      </x:c>
      <x:c r="J144" s="45" t="str">
        <x:v>人工模拟结果，无对应检测报告</x:v>
      </x:c>
    </x:row>
    <x:row r="145">
      <x:c r="A145" s="54" t="str">
        <x:v>SIM-S024</x:v>
      </x:c>
      <x:c r="B145" s="54" t="str">
        <x:v>Ag</x:v>
      </x:c>
      <x:c r="C145" s="45" t="str">
        <x:v>20.29</x:v>
      </x:c>
      <x:c r="D145" s="45" t="n">
        <x:v>20.29</x:v>
      </x:c>
      <x:c r="E145" s="54" t="str">
        <x:v>mg/kg</x:v>
      </x:c>
      <x:c r="F145" s="45" t="n">
        <x:v>0.1</x:v>
      </x:c>
      <x:c r="G145" s="45" t="str">
        <x:v>模拟检测法-Ag</x:v>
      </x:c>
      <x:c r="H145" s="63" t="n">
        <x:v>46298</x:v>
      </x:c>
      <x:c r="I145" s="54" t="str">
        <x:v>SIM-LAB-01</x:v>
      </x:c>
      <x:c r="J145" s="45" t="str">
        <x:v>人工模拟结果，无对应检测报告</x:v>
      </x:c>
    </x:row>
    <x:row r="146">
      <x:c r="A146" s="54" t="str">
        <x:v>SIM-S024</x:v>
      </x:c>
      <x:c r="B146" s="54" t="str">
        <x:v>Cu</x:v>
      </x:c>
      <x:c r="C146" s="45" t="str">
        <x:v>0.322</x:v>
      </x:c>
      <x:c r="D146" s="45" t="n">
        <x:v>0.322</x:v>
      </x:c>
      <x:c r="E146" s="54" t="str">
        <x:v>%</x:v>
      </x:c>
      <x:c r="F146" s="45" t="n">
        <x:v>0.001</x:v>
      </x:c>
      <x:c r="G146" s="45" t="str">
        <x:v>模拟检测法-Cu</x:v>
      </x:c>
      <x:c r="H146" s="63" t="n">
        <x:v>46298</x:v>
      </x:c>
      <x:c r="I146" s="54" t="str">
        <x:v>SIM-LAB-01</x:v>
      </x:c>
      <x:c r="J146" s="45" t="str">
        <x:v>人工模拟结果，无对应检测报告</x:v>
      </x:c>
    </x:row>
    <x:row r="147">
      <x:c r="A147" s="54" t="str">
        <x:v>SIM-S024</x:v>
      </x:c>
      <x:c r="B147" s="54" t="str">
        <x:v>Pb</x:v>
      </x:c>
      <x:c r="C147" s="45" t="str">
        <x:v>1.3336</x:v>
      </x:c>
      <x:c r="D147" s="45" t="n">
        <x:v>1.3336</x:v>
      </x:c>
      <x:c r="E147" s="54" t="str">
        <x:v>%</x:v>
      </x:c>
      <x:c r="F147" s="45" t="n">
        <x:v>0.001</x:v>
      </x:c>
      <x:c r="G147" s="45" t="str">
        <x:v>模拟检测法-Pb</x:v>
      </x:c>
      <x:c r="H147" s="63" t="n">
        <x:v>46298</x:v>
      </x:c>
      <x:c r="I147" s="54" t="str">
        <x:v>SIM-LAB-01</x:v>
      </x:c>
      <x:c r="J147" s="45" t="str">
        <x:v>人工模拟结果，无对应检测报告</x:v>
      </x:c>
    </x:row>
    <x:row r="148">
      <x:c r="A148" s="54" t="str">
        <x:v>SIM-S024</x:v>
      </x:c>
      <x:c r="B148" s="54" t="str">
        <x:v>Zn</x:v>
      </x:c>
      <x:c r="C148" s="45" t="str">
        <x:v>2.6943</x:v>
      </x:c>
      <x:c r="D148" s="45" t="n">
        <x:v>2.6943</x:v>
      </x:c>
      <x:c r="E148" s="54" t="str">
        <x:v>%</x:v>
      </x:c>
      <x:c r="F148" s="45" t="n">
        <x:v>0.001</x:v>
      </x:c>
      <x:c r="G148" s="45" t="str">
        <x:v>模拟检测法-Zn</x:v>
      </x:c>
      <x:c r="H148" s="63" t="n">
        <x:v>46298</x:v>
      </x:c>
      <x:c r="I148" s="54" t="str">
        <x:v>SIM-LAB-01</x:v>
      </x:c>
      <x:c r="J148" s="45" t="str">
        <x:v>人工模拟结果，无对应检测报告</x:v>
      </x:c>
    </x:row>
    <x:row r="149">
      <x:c r="A149" s="54" t="str">
        <x:v>SIM-S024</x:v>
      </x:c>
      <x:c r="B149" s="54" t="str">
        <x:v>As</x:v>
      </x:c>
      <x:c r="C149" s="45" t="str">
        <x:v>115.6</x:v>
      </x:c>
      <x:c r="D149" s="45" t="n">
        <x:v>115.6</x:v>
      </x:c>
      <x:c r="E149" s="54" t="str">
        <x:v>mg/kg</x:v>
      </x:c>
      <x:c r="F149" s="45" t="n">
        <x:v>1</x:v>
      </x:c>
      <x:c r="G149" s="45" t="str">
        <x:v>模拟检测法-As</x:v>
      </x:c>
      <x:c r="H149" s="63" t="n">
        <x:v>46298</x:v>
      </x:c>
      <x:c r="I149" s="54" t="str">
        <x:v>SIM-LAB-01</x:v>
      </x:c>
      <x:c r="J149" s="45" t="str">
        <x:v>人工模拟结果，无对应检测报告</x:v>
      </x:c>
    </x:row>
    <x:row r="150">
      <x:c r="A150" s="54" t="str">
        <x:v>SIM-S025</x:v>
      </x:c>
      <x:c r="B150" s="54" t="str">
        <x:v>Au</x:v>
      </x:c>
      <x:c r="C150" s="45" t="str">
        <x:v>2.635</x:v>
      </x:c>
      <x:c r="D150" s="45" t="n">
        <x:v>2.635</x:v>
      </x:c>
      <x:c r="E150" s="54" t="str">
        <x:v>mg/kg</x:v>
      </x:c>
      <x:c r="F150" s="45" t="n">
        <x:v>0.005</x:v>
      </x:c>
      <x:c r="G150" s="45" t="str">
        <x:v>模拟检测法-Au</x:v>
      </x:c>
      <x:c r="H150" s="63" t="n">
        <x:v>46298</x:v>
      </x:c>
      <x:c r="I150" s="54" t="str">
        <x:v>SIM-LAB-01</x:v>
      </x:c>
      <x:c r="J150" s="45" t="str">
        <x:v>人工模拟结果，无对应检测报告</x:v>
      </x:c>
    </x:row>
    <x:row r="151">
      <x:c r="A151" s="54" t="str">
        <x:v>SIM-S025</x:v>
      </x:c>
      <x:c r="B151" s="54" t="str">
        <x:v>Ag</x:v>
      </x:c>
      <x:c r="C151" s="45" t="str">
        <x:v>23.42</x:v>
      </x:c>
      <x:c r="D151" s="45" t="n">
        <x:v>23.42</x:v>
      </x:c>
      <x:c r="E151" s="54" t="str">
        <x:v>mg/kg</x:v>
      </x:c>
      <x:c r="F151" s="45" t="n">
        <x:v>0.1</x:v>
      </x:c>
      <x:c r="G151" s="45" t="str">
        <x:v>模拟检测法-Ag</x:v>
      </x:c>
      <x:c r="H151" s="63" t="n">
        <x:v>46298</x:v>
      </x:c>
      <x:c r="I151" s="54" t="str">
        <x:v>SIM-LAB-01</x:v>
      </x:c>
      <x:c r="J151" s="45" t="str">
        <x:v>人工模拟结果，无对应检测报告</x:v>
      </x:c>
    </x:row>
    <x:row r="152">
      <x:c r="A152" s="54" t="str">
        <x:v>SIM-S025</x:v>
      </x:c>
      <x:c r="B152" s="54" t="str">
        <x:v>Cu</x:v>
      </x:c>
      <x:c r="C152" s="45" t="str">
        <x:v>0.3644</x:v>
      </x:c>
      <x:c r="D152" s="45" t="n">
        <x:v>0.3644</x:v>
      </x:c>
      <x:c r="E152" s="54" t="str">
        <x:v>%</x:v>
      </x:c>
      <x:c r="F152" s="45" t="n">
        <x:v>0.001</x:v>
      </x:c>
      <x:c r="G152" s="45" t="str">
        <x:v>模拟检测法-Cu</x:v>
      </x:c>
      <x:c r="H152" s="63" t="n">
        <x:v>46298</x:v>
      </x:c>
      <x:c r="I152" s="54" t="str">
        <x:v>SIM-LAB-01</x:v>
      </x:c>
      <x:c r="J152" s="45" t="str">
        <x:v>人工模拟结果，无对应检测报告</x:v>
      </x:c>
    </x:row>
    <x:row r="153">
      <x:c r="A153" s="54" t="str">
        <x:v>SIM-S025</x:v>
      </x:c>
      <x:c r="B153" s="54" t="str">
        <x:v>Pb</x:v>
      </x:c>
      <x:c r="C153" s="45" t="str">
        <x:v>1.519</x:v>
      </x:c>
      <x:c r="D153" s="45" t="n">
        <x:v>1.519</x:v>
      </x:c>
      <x:c r="E153" s="54" t="str">
        <x:v>%</x:v>
      </x:c>
      <x:c r="F153" s="45" t="n">
        <x:v>0.001</x:v>
      </x:c>
      <x:c r="G153" s="45" t="str">
        <x:v>模拟检测法-Pb</x:v>
      </x:c>
      <x:c r="H153" s="63" t="n">
        <x:v>46298</x:v>
      </x:c>
      <x:c r="I153" s="54" t="str">
        <x:v>SIM-LAB-01</x:v>
      </x:c>
      <x:c r="J153" s="45" t="str">
        <x:v>人工模拟结果，无对应检测报告</x:v>
      </x:c>
    </x:row>
    <x:row r="154">
      <x:c r="A154" s="54" t="str">
        <x:v>SIM-S025</x:v>
      </x:c>
      <x:c r="B154" s="54" t="str">
        <x:v>Zn</x:v>
      </x:c>
      <x:c r="C154" s="45" t="str">
        <x:v>3.0617</x:v>
      </x:c>
      <x:c r="D154" s="45" t="n">
        <x:v>3.0617</x:v>
      </x:c>
      <x:c r="E154" s="54" t="str">
        <x:v>%</x:v>
      </x:c>
      <x:c r="F154" s="45" t="n">
        <x:v>0.001</x:v>
      </x:c>
      <x:c r="G154" s="45" t="str">
        <x:v>模拟检测法-Zn</x:v>
      </x:c>
      <x:c r="H154" s="63" t="n">
        <x:v>46298</x:v>
      </x:c>
      <x:c r="I154" s="54" t="str">
        <x:v>SIM-LAB-01</x:v>
      </x:c>
      <x:c r="J154" s="45" t="str">
        <x:v>人工模拟结果，无对应检测报告</x:v>
      </x:c>
    </x:row>
    <x:row r="155">
      <x:c r="A155" s="54" t="str">
        <x:v>SIM-S025</x:v>
      </x:c>
      <x:c r="B155" s="54" t="str">
        <x:v>As</x:v>
      </x:c>
      <x:c r="C155" s="45" t="str">
        <x:v>129.9</x:v>
      </x:c>
      <x:c r="D155" s="45" t="n">
        <x:v>129.9</x:v>
      </x:c>
      <x:c r="E155" s="54" t="str">
        <x:v>mg/kg</x:v>
      </x:c>
      <x:c r="F155" s="45" t="n">
        <x:v>1</x:v>
      </x:c>
      <x:c r="G155" s="45" t="str">
        <x:v>模拟检测法-As</x:v>
      </x:c>
      <x:c r="H155" s="63" t="n">
        <x:v>46298</x:v>
      </x:c>
      <x:c r="I155" s="54" t="str">
        <x:v>SIM-LAB-01</x:v>
      </x:c>
      <x:c r="J155" s="45" t="str">
        <x:v>人工模拟结果，无对应检测报告</x:v>
      </x:c>
    </x:row>
    <x:row r="156">
      <x:c r="A156" s="54" t="str">
        <x:v>SIM-S026</x:v>
      </x:c>
      <x:c r="B156" s="54" t="str">
        <x:v>Au</x:v>
      </x:c>
      <x:c r="C156" s="45" t="str">
        <x:v>2.821</x:v>
      </x:c>
      <x:c r="D156" s="45" t="n">
        <x:v>2.821</x:v>
      </x:c>
      <x:c r="E156" s="54" t="str">
        <x:v>mg/kg</x:v>
      </x:c>
      <x:c r="F156" s="45" t="n">
        <x:v>0.005</x:v>
      </x:c>
      <x:c r="G156" s="45" t="str">
        <x:v>模拟检测法-Au</x:v>
      </x:c>
      <x:c r="H156" s="63" t="n">
        <x:v>46298</x:v>
      </x:c>
      <x:c r="I156" s="54" t="str">
        <x:v>SIM-LAB-01</x:v>
      </x:c>
      <x:c r="J156" s="45" t="str">
        <x:v>人工模拟结果，无对应检测报告</x:v>
      </x:c>
    </x:row>
    <x:row r="157">
      <x:c r="A157" s="54" t="str">
        <x:v>SIM-S026</x:v>
      </x:c>
      <x:c r="B157" s="54" t="str">
        <x:v>Ag</x:v>
      </x:c>
      <x:c r="C157" s="45" t="str">
        <x:v>25.13</x:v>
      </x:c>
      <x:c r="D157" s="45" t="n">
        <x:v>25.13</x:v>
      </x:c>
      <x:c r="E157" s="54" t="str">
        <x:v>mg/kg</x:v>
      </x:c>
      <x:c r="F157" s="45" t="n">
        <x:v>0.1</x:v>
      </x:c>
      <x:c r="G157" s="45" t="str">
        <x:v>模拟检测法-Ag</x:v>
      </x:c>
      <x:c r="H157" s="63" t="n">
        <x:v>46298</x:v>
      </x:c>
      <x:c r="I157" s="54" t="str">
        <x:v>SIM-LAB-01</x:v>
      </x:c>
      <x:c r="J157" s="45" t="str">
        <x:v>人工模拟结果，无对应检测报告</x:v>
      </x:c>
    </x:row>
    <x:row r="158">
      <x:c r="A158" s="54" t="str">
        <x:v>SIM-S026</x:v>
      </x:c>
      <x:c r="B158" s="54" t="str">
        <x:v>Cu</x:v>
      </x:c>
      <x:c r="C158" s="45" t="str">
        <x:v>0.3867</x:v>
      </x:c>
      <x:c r="D158" s="45" t="n">
        <x:v>0.3867</x:v>
      </x:c>
      <x:c r="E158" s="54" t="str">
        <x:v>%</x:v>
      </x:c>
      <x:c r="F158" s="45" t="n">
        <x:v>0.001</x:v>
      </x:c>
      <x:c r="G158" s="45" t="str">
        <x:v>模拟检测法-Cu</x:v>
      </x:c>
      <x:c r="H158" s="63" t="n">
        <x:v>46298</x:v>
      </x:c>
      <x:c r="I158" s="54" t="str">
        <x:v>SIM-LAB-01</x:v>
      </x:c>
      <x:c r="J158" s="45" t="str">
        <x:v>人工模拟结果，无对应检测报告</x:v>
      </x:c>
    </x:row>
    <x:row r="159">
      <x:c r="A159" s="54" t="str">
        <x:v>SIM-S026</x:v>
      </x:c>
      <x:c r="B159" s="54" t="str">
        <x:v>Pb</x:v>
      </x:c>
      <x:c r="C159" s="45" t="str">
        <x:v>1.6198</x:v>
      </x:c>
      <x:c r="D159" s="45" t="n">
        <x:v>1.6198</x:v>
      </x:c>
      <x:c r="E159" s="54" t="str">
        <x:v>%</x:v>
      </x:c>
      <x:c r="F159" s="45" t="n">
        <x:v>0.001</x:v>
      </x:c>
      <x:c r="G159" s="45" t="str">
        <x:v>模拟检测法-Pb</x:v>
      </x:c>
      <x:c r="H159" s="63" t="n">
        <x:v>46298</x:v>
      </x:c>
      <x:c r="I159" s="54" t="str">
        <x:v>SIM-LAB-01</x:v>
      </x:c>
      <x:c r="J159" s="45" t="str">
        <x:v>人工模拟结果，无对应检测报告</x:v>
      </x:c>
    </x:row>
    <x:row r="160">
      <x:c r="A160" s="54" t="str">
        <x:v>SIM-S026</x:v>
      </x:c>
      <x:c r="B160" s="54" t="str">
        <x:v>Zn</x:v>
      </x:c>
      <x:c r="C160" s="45" t="str">
        <x:v>3.2529</x:v>
      </x:c>
      <x:c r="D160" s="45" t="n">
        <x:v>3.2529</x:v>
      </x:c>
      <x:c r="E160" s="54" t="str">
        <x:v>%</x:v>
      </x:c>
      <x:c r="F160" s="45" t="n">
        <x:v>0.001</x:v>
      </x:c>
      <x:c r="G160" s="45" t="str">
        <x:v>模拟检测法-Zn</x:v>
      </x:c>
      <x:c r="H160" s="63" t="n">
        <x:v>46298</x:v>
      </x:c>
      <x:c r="I160" s="54" t="str">
        <x:v>SIM-LAB-01</x:v>
      </x:c>
      <x:c r="J160" s="45" t="str">
        <x:v>人工模拟结果，无对应检测报告</x:v>
      </x:c>
    </x:row>
    <x:row r="161">
      <x:c r="A161" s="54" t="str">
        <x:v>SIM-S026</x:v>
      </x:c>
      <x:c r="B161" s="54" t="str">
        <x:v>As</x:v>
      </x:c>
      <x:c r="C161" s="45" t="str">
        <x:v>137.1</x:v>
      </x:c>
      <x:c r="D161" s="45" t="n">
        <x:v>137.1</x:v>
      </x:c>
      <x:c r="E161" s="54" t="str">
        <x:v>mg/kg</x:v>
      </x:c>
      <x:c r="F161" s="45" t="n">
        <x:v>1</x:v>
      </x:c>
      <x:c r="G161" s="45" t="str">
        <x:v>模拟检测法-As</x:v>
      </x:c>
      <x:c r="H161" s="63" t="n">
        <x:v>46298</x:v>
      </x:c>
      <x:c r="I161" s="54" t="str">
        <x:v>SIM-LAB-01</x:v>
      </x:c>
      <x:c r="J161" s="45" t="str">
        <x:v>人工模拟结果，无对应检测报告</x:v>
      </x:c>
    </x:row>
    <x:row r="162">
      <x:c r="A162" s="54" t="str">
        <x:v>SIM-S027</x:v>
      </x:c>
      <x:c r="B162" s="54" t="str">
        <x:v>Au</x:v>
      </x:c>
      <x:c r="C162" s="45" t="str">
        <x:v>2.829</x:v>
      </x:c>
      <x:c r="D162" s="45" t="n">
        <x:v>2.829</x:v>
      </x:c>
      <x:c r="E162" s="54" t="str">
        <x:v>mg/kg</x:v>
      </x:c>
      <x:c r="F162" s="45" t="n">
        <x:v>0.005</x:v>
      </x:c>
      <x:c r="G162" s="45" t="str">
        <x:v>模拟检测法-Au</x:v>
      </x:c>
      <x:c r="H162" s="63" t="n">
        <x:v>46298</x:v>
      </x:c>
      <x:c r="I162" s="54" t="str">
        <x:v>SIM-LAB-01</x:v>
      </x:c>
      <x:c r="J162" s="45" t="str">
        <x:v>人工模拟结果，无对应检测报告</x:v>
      </x:c>
    </x:row>
    <x:row r="163">
      <x:c r="A163" s="54" t="str">
        <x:v>SIM-S027</x:v>
      </x:c>
      <x:c r="B163" s="54" t="str">
        <x:v>Ag</x:v>
      </x:c>
      <x:c r="C163" s="45" t="str">
        <x:v>24.92</x:v>
      </x:c>
      <x:c r="D163" s="45" t="n">
        <x:v>24.92</x:v>
      </x:c>
      <x:c r="E163" s="54" t="str">
        <x:v>mg/kg</x:v>
      </x:c>
      <x:c r="F163" s="45" t="n">
        <x:v>0.1</x:v>
      </x:c>
      <x:c r="G163" s="45" t="str">
        <x:v>模拟检测法-Ag</x:v>
      </x:c>
      <x:c r="H163" s="63" t="n">
        <x:v>46298</x:v>
      </x:c>
      <x:c r="I163" s="54" t="str">
        <x:v>SIM-LAB-01</x:v>
      </x:c>
      <x:c r="J163" s="45" t="str">
        <x:v>人工模拟结果，无对应检测报告</x:v>
      </x:c>
    </x:row>
    <x:row r="164">
      <x:c r="A164" s="54" t="str">
        <x:v>SIM-S027</x:v>
      </x:c>
      <x:c r="B164" s="54" t="str">
        <x:v>Cu</x:v>
      </x:c>
      <x:c r="C164" s="45" t="str">
        <x:v>0.3847</x:v>
      </x:c>
      <x:c r="D164" s="45" t="n">
        <x:v>0.3847</x:v>
      </x:c>
      <x:c r="E164" s="54" t="str">
        <x:v>%</x:v>
      </x:c>
      <x:c r="F164" s="45" t="n">
        <x:v>0.001</x:v>
      </x:c>
      <x:c r="G164" s="45" t="str">
        <x:v>模拟检测法-Cu</x:v>
      </x:c>
      <x:c r="H164" s="63" t="n">
        <x:v>46298</x:v>
      </x:c>
      <x:c r="I164" s="54" t="str">
        <x:v>SIM-LAB-01</x:v>
      </x:c>
      <x:c r="J164" s="45" t="str">
        <x:v>人工模拟结果，无对应检测报告</x:v>
      </x:c>
    </x:row>
    <x:row r="165">
      <x:c r="A165" s="54" t="str">
        <x:v>SIM-S027</x:v>
      </x:c>
      <x:c r="B165" s="54" t="str">
        <x:v>Pb</x:v>
      </x:c>
      <x:c r="C165" s="45" t="str">
        <x:v>1.6168</x:v>
      </x:c>
      <x:c r="D165" s="45" t="n">
        <x:v>1.6168</x:v>
      </x:c>
      <x:c r="E165" s="54" t="str">
        <x:v>%</x:v>
      </x:c>
      <x:c r="F165" s="45" t="n">
        <x:v>0.001</x:v>
      </x:c>
      <x:c r="G165" s="45" t="str">
        <x:v>模拟检测法-Pb</x:v>
      </x:c>
      <x:c r="H165" s="63" t="n">
        <x:v>46298</x:v>
      </x:c>
      <x:c r="I165" s="54" t="str">
        <x:v>SIM-LAB-01</x:v>
      </x:c>
      <x:c r="J165" s="45" t="str">
        <x:v>人工模拟结果，无对应检测报告</x:v>
      </x:c>
    </x:row>
    <x:row r="166">
      <x:c r="A166" s="54" t="str">
        <x:v>SIM-S027</x:v>
      </x:c>
      <x:c r="B166" s="54" t="str">
        <x:v>Zn</x:v>
      </x:c>
      <x:c r="C166" s="45" t="str">
        <x:v>3.2323</x:v>
      </x:c>
      <x:c r="D166" s="45" t="n">
        <x:v>3.2323</x:v>
      </x:c>
      <x:c r="E166" s="54" t="str">
        <x:v>%</x:v>
      </x:c>
      <x:c r="F166" s="45" t="n">
        <x:v>0.001</x:v>
      </x:c>
      <x:c r="G166" s="45" t="str">
        <x:v>模拟检测法-Zn</x:v>
      </x:c>
      <x:c r="H166" s="63" t="n">
        <x:v>46298</x:v>
      </x:c>
      <x:c r="I166" s="54" t="str">
        <x:v>SIM-LAB-01</x:v>
      </x:c>
      <x:c r="J166" s="45" t="str">
        <x:v>人工模拟结果，无对应检测报告</x:v>
      </x:c>
    </x:row>
    <x:row r="167">
      <x:c r="A167" s="54" t="str">
        <x:v>SIM-S027</x:v>
      </x:c>
      <x:c r="B167" s="54" t="str">
        <x:v>As</x:v>
      </x:c>
      <x:c r="C167" s="45" t="str">
        <x:v>135.9</x:v>
      </x:c>
      <x:c r="D167" s="45" t="n">
        <x:v>135.9</x:v>
      </x:c>
      <x:c r="E167" s="54" t="str">
        <x:v>mg/kg</x:v>
      </x:c>
      <x:c r="F167" s="45" t="n">
        <x:v>1</x:v>
      </x:c>
      <x:c r="G167" s="45" t="str">
        <x:v>模拟检测法-As</x:v>
      </x:c>
      <x:c r="H167" s="63" t="n">
        <x:v>46298</x:v>
      </x:c>
      <x:c r="I167" s="54" t="str">
        <x:v>SIM-LAB-01</x:v>
      </x:c>
      <x:c r="J167" s="45" t="str">
        <x:v>人工模拟结果，无对应检测报告</x:v>
      </x:c>
    </x:row>
    <x:row r="168">
      <x:c r="A168" s="54" t="str">
        <x:v>SIM-S028</x:v>
      </x:c>
      <x:c r="B168" s="54" t="str">
        <x:v>Au</x:v>
      </x:c>
      <x:c r="C168" s="45" t="str">
        <x:v>2.644</x:v>
      </x:c>
      <x:c r="D168" s="45" t="n">
        <x:v>2.644</x:v>
      </x:c>
      <x:c r="E168" s="54" t="str">
        <x:v>mg/kg</x:v>
      </x:c>
      <x:c r="F168" s="45" t="n">
        <x:v>0.005</x:v>
      </x:c>
      <x:c r="G168" s="45" t="str">
        <x:v>模拟检测法-Au</x:v>
      </x:c>
      <x:c r="H168" s="63" t="n">
        <x:v>46298</x:v>
      </x:c>
      <x:c r="I168" s="54" t="str">
        <x:v>SIM-LAB-01</x:v>
      </x:c>
      <x:c r="J168" s="45" t="str">
        <x:v>人工模拟结果，无对应检测报告</x:v>
      </x:c>
    </x:row>
    <x:row r="169">
      <x:c r="A169" s="54" t="str">
        <x:v>SIM-S028</x:v>
      </x:c>
      <x:c r="B169" s="54" t="str">
        <x:v>Ag</x:v>
      </x:c>
      <x:c r="C169" s="45" t="str">
        <x:v>22.93</x:v>
      </x:c>
      <x:c r="D169" s="45" t="n">
        <x:v>22.93</x:v>
      </x:c>
      <x:c r="E169" s="54" t="str">
        <x:v>mg/kg</x:v>
      </x:c>
      <x:c r="F169" s="45" t="n">
        <x:v>0.1</x:v>
      </x:c>
      <x:c r="G169" s="45" t="str">
        <x:v>模拟检测法-Ag</x:v>
      </x:c>
      <x:c r="H169" s="63" t="n">
        <x:v>46298</x:v>
      </x:c>
      <x:c r="I169" s="54" t="str">
        <x:v>SIM-LAB-01</x:v>
      </x:c>
      <x:c r="J169" s="45" t="str">
        <x:v>人工模拟结果，无对应检测报告</x:v>
      </x:c>
    </x:row>
    <x:row r="170">
      <x:c r="A170" s="54" t="str">
        <x:v>SIM-S028</x:v>
      </x:c>
      <x:c r="B170" s="54" t="str">
        <x:v>Cu</x:v>
      </x:c>
      <x:c r="C170" s="45" t="str">
        <x:v>0.3587</x:v>
      </x:c>
      <x:c r="D170" s="45" t="n">
        <x:v>0.3587</x:v>
      </x:c>
      <x:c r="E170" s="54" t="str">
        <x:v>%</x:v>
      </x:c>
      <x:c r="F170" s="45" t="n">
        <x:v>0.001</x:v>
      </x:c>
      <x:c r="G170" s="45" t="str">
        <x:v>模拟检测法-Cu</x:v>
      </x:c>
      <x:c r="H170" s="63" t="n">
        <x:v>46298</x:v>
      </x:c>
      <x:c r="I170" s="54" t="str">
        <x:v>SIM-LAB-01</x:v>
      </x:c>
      <x:c r="J170" s="45" t="str">
        <x:v>人工模拟结果，无对应检测报告</x:v>
      </x:c>
    </x:row>
    <x:row r="171">
      <x:c r="A171" s="54" t="str">
        <x:v>SIM-S028</x:v>
      </x:c>
      <x:c r="B171" s="54" t="str">
        <x:v>Pb</x:v>
      </x:c>
      <x:c r="C171" s="45" t="str">
        <x:v>1.5109</x:v>
      </x:c>
      <x:c r="D171" s="45" t="n">
        <x:v>1.5109</x:v>
      </x:c>
      <x:c r="E171" s="54" t="str">
        <x:v>%</x:v>
      </x:c>
      <x:c r="F171" s="45" t="n">
        <x:v>0.001</x:v>
      </x:c>
      <x:c r="G171" s="45" t="str">
        <x:v>模拟检测法-Pb</x:v>
      </x:c>
      <x:c r="H171" s="63" t="n">
        <x:v>46298</x:v>
      </x:c>
      <x:c r="I171" s="54" t="str">
        <x:v>SIM-LAB-01</x:v>
      </x:c>
      <x:c r="J171" s="45" t="str">
        <x:v>人工模拟结果，无对应检测报告</x:v>
      </x:c>
    </x:row>
    <x:row r="172">
      <x:c r="A172" s="54" t="str">
        <x:v>SIM-S028</x:v>
      </x:c>
      <x:c r="B172" s="54" t="str">
        <x:v>Zn</x:v>
      </x:c>
      <x:c r="C172" s="45" t="str">
        <x:v>3.0057</x:v>
      </x:c>
      <x:c r="D172" s="45" t="n">
        <x:v>3.0057</x:v>
      </x:c>
      <x:c r="E172" s="54" t="str">
        <x:v>%</x:v>
      </x:c>
      <x:c r="F172" s="45" t="n">
        <x:v>0.001</x:v>
      </x:c>
      <x:c r="G172" s="45" t="str">
        <x:v>模拟检测法-Zn</x:v>
      </x:c>
      <x:c r="H172" s="63" t="n">
        <x:v>46298</x:v>
      </x:c>
      <x:c r="I172" s="54" t="str">
        <x:v>SIM-LAB-01</x:v>
      </x:c>
      <x:c r="J172" s="45" t="str">
        <x:v>人工模拟结果，无对应检测报告</x:v>
      </x:c>
    </x:row>
    <x:row r="173">
      <x:c r="A173" s="54" t="str">
        <x:v>SIM-S028</x:v>
      </x:c>
      <x:c r="B173" s="54" t="str">
        <x:v>As</x:v>
      </x:c>
      <x:c r="C173" s="45" t="str">
        <x:v>126.2</x:v>
      </x:c>
      <x:c r="D173" s="45" t="n">
        <x:v>126.2</x:v>
      </x:c>
      <x:c r="E173" s="54" t="str">
        <x:v>mg/kg</x:v>
      </x:c>
      <x:c r="F173" s="45" t="n">
        <x:v>1</x:v>
      </x:c>
      <x:c r="G173" s="45" t="str">
        <x:v>模拟检测法-As</x:v>
      </x:c>
      <x:c r="H173" s="63" t="n">
        <x:v>46298</x:v>
      </x:c>
      <x:c r="I173" s="54" t="str">
        <x:v>SIM-LAB-01</x:v>
      </x:c>
      <x:c r="J173" s="45" t="str">
        <x:v>人工模拟结果，无对应检测报告</x:v>
      </x:c>
    </x:row>
    <x:row r="174">
      <x:c r="A174" s="54" t="str">
        <x:v>SIM-S029</x:v>
      </x:c>
      <x:c r="B174" s="54" t="str">
        <x:v>Au</x:v>
      </x:c>
      <x:c r="C174" s="45" t="str">
        <x:v>2.3</x:v>
      </x:c>
      <x:c r="D174" s="45" t="n">
        <x:v>2.3</x:v>
      </x:c>
      <x:c r="E174" s="54" t="str">
        <x:v>mg/kg</x:v>
      </x:c>
      <x:c r="F174" s="45" t="n">
        <x:v>0.005</x:v>
      </x:c>
      <x:c r="G174" s="45" t="str">
        <x:v>模拟检测法-Au</x:v>
      </x:c>
      <x:c r="H174" s="63" t="n">
        <x:v>46298</x:v>
      </x:c>
      <x:c r="I174" s="54" t="str">
        <x:v>SIM-LAB-01</x:v>
      </x:c>
      <x:c r="J174" s="45" t="str">
        <x:v>人工模拟结果，无对应检测报告</x:v>
      </x:c>
    </x:row>
    <x:row r="175">
      <x:c r="A175" s="54" t="str">
        <x:v>SIM-S029</x:v>
      </x:c>
      <x:c r="B175" s="54" t="str">
        <x:v>Ag</x:v>
      </x:c>
      <x:c r="C175" s="45" t="str">
        <x:v>19.82</x:v>
      </x:c>
      <x:c r="D175" s="45" t="n">
        <x:v>19.82</x:v>
      </x:c>
      <x:c r="E175" s="54" t="str">
        <x:v>mg/kg</x:v>
      </x:c>
      <x:c r="F175" s="45" t="n">
        <x:v>0.1</x:v>
      </x:c>
      <x:c r="G175" s="45" t="str">
        <x:v>模拟检测法-Ag</x:v>
      </x:c>
      <x:c r="H175" s="63" t="n">
        <x:v>46298</x:v>
      </x:c>
      <x:c r="I175" s="54" t="str">
        <x:v>SIM-LAB-01</x:v>
      </x:c>
      <x:c r="J175" s="45" t="str">
        <x:v>人工模拟结果，无对应检测报告</x:v>
      </x:c>
    </x:row>
    <x:row r="176">
      <x:c r="A176" s="54" t="str">
        <x:v>SIM-S029</x:v>
      </x:c>
      <x:c r="B176" s="54" t="str">
        <x:v>Cu</x:v>
      </x:c>
      <x:c r="C176" s="45" t="str">
        <x:v>0.3137</x:v>
      </x:c>
      <x:c r="D176" s="45" t="n">
        <x:v>0.3137</x:v>
      </x:c>
      <x:c r="E176" s="54" t="str">
        <x:v>%</x:v>
      </x:c>
      <x:c r="F176" s="45" t="n">
        <x:v>0.001</x:v>
      </x:c>
      <x:c r="G176" s="45" t="str">
        <x:v>模拟检测法-Cu</x:v>
      </x:c>
      <x:c r="H176" s="63" t="n">
        <x:v>46298</x:v>
      </x:c>
      <x:c r="I176" s="54" t="str">
        <x:v>SIM-LAB-01</x:v>
      </x:c>
      <x:c r="J176" s="45" t="str">
        <x:v>人工模拟结果，无对应检测报告</x:v>
      </x:c>
    </x:row>
    <x:row r="177">
      <x:c r="A177" s="54" t="str">
        <x:v>SIM-S029</x:v>
      </x:c>
      <x:c r="B177" s="54" t="str">
        <x:v>Pb</x:v>
      </x:c>
      <x:c r="C177" s="45" t="str">
        <x:v>1.3226</x:v>
      </x:c>
      <x:c r="D177" s="45" t="n">
        <x:v>1.3226</x:v>
      </x:c>
      <x:c r="E177" s="54" t="str">
        <x:v>%</x:v>
      </x:c>
      <x:c r="F177" s="45" t="n">
        <x:v>0.001</x:v>
      </x:c>
      <x:c r="G177" s="45" t="str">
        <x:v>模拟检测法-Pb</x:v>
      </x:c>
      <x:c r="H177" s="63" t="n">
        <x:v>46298</x:v>
      </x:c>
      <x:c r="I177" s="54" t="str">
        <x:v>SIM-LAB-01</x:v>
      </x:c>
      <x:c r="J177" s="45" t="str">
        <x:v>人工模拟结果，无对应检测报告</x:v>
      </x:c>
    </x:row>
    <x:row r="178">
      <x:c r="A178" s="54" t="str">
        <x:v>SIM-S029</x:v>
      </x:c>
      <x:c r="B178" s="54" t="str">
        <x:v>Zn</x:v>
      </x:c>
      <x:c r="C178" s="45" t="str">
        <x:v>2.618</x:v>
      </x:c>
      <x:c r="D178" s="45" t="n">
        <x:v>2.618</x:v>
      </x:c>
      <x:c r="E178" s="54" t="str">
        <x:v>%</x:v>
      </x:c>
      <x:c r="F178" s="45" t="n">
        <x:v>0.001</x:v>
      </x:c>
      <x:c r="G178" s="45" t="str">
        <x:v>模拟检测法-Zn</x:v>
      </x:c>
      <x:c r="H178" s="63" t="n">
        <x:v>46298</x:v>
      </x:c>
      <x:c r="I178" s="54" t="str">
        <x:v>SIM-LAB-01</x:v>
      </x:c>
      <x:c r="J178" s="45" t="str">
        <x:v>人工模拟结果，无对应检测报告</x:v>
      </x:c>
    </x:row>
    <x:row r="179">
      <x:c r="A179" s="54" t="str">
        <x:v>SIM-S029</x:v>
      </x:c>
      <x:c r="B179" s="54" t="str">
        <x:v>As</x:v>
      </x:c>
      <x:c r="C179" s="45" t="str">
        <x:v>110.0</x:v>
      </x:c>
      <x:c r="D179" s="45" t="n">
        <x:v>110</x:v>
      </x:c>
      <x:c r="E179" s="54" t="str">
        <x:v>mg/kg</x:v>
      </x:c>
      <x:c r="F179" s="45" t="n">
        <x:v>1</x:v>
      </x:c>
      <x:c r="G179" s="45" t="str">
        <x:v>模拟检测法-As</x:v>
      </x:c>
      <x:c r="H179" s="63" t="n">
        <x:v>46298</x:v>
      </x:c>
      <x:c r="I179" s="54" t="str">
        <x:v>SIM-LAB-01</x:v>
      </x:c>
      <x:c r="J179" s="45" t="str">
        <x:v>人工模拟结果，无对应检测报告</x:v>
      </x:c>
    </x:row>
    <x:row r="180">
      <x:c r="A180" s="54" t="str">
        <x:v>SIM-S030</x:v>
      </x:c>
      <x:c r="B180" s="54" t="str">
        <x:v>Au</x:v>
      </x:c>
      <x:c r="C180" s="45" t="str">
        <x:v>1.866</x:v>
      </x:c>
      <x:c r="D180" s="45" t="n">
        <x:v>1.866</x:v>
      </x:c>
      <x:c r="E180" s="54" t="str">
        <x:v>mg/kg</x:v>
      </x:c>
      <x:c r="F180" s="45" t="n">
        <x:v>0.005</x:v>
      </x:c>
      <x:c r="G180" s="45" t="str">
        <x:v>模拟检测法-Au</x:v>
      </x:c>
      <x:c r="H180" s="63" t="n">
        <x:v>46298</x:v>
      </x:c>
      <x:c r="I180" s="54" t="str">
        <x:v>SIM-LAB-01</x:v>
      </x:c>
      <x:c r="J180" s="45" t="str">
        <x:v>人工模拟结果，无对应检测报告</x:v>
      </x:c>
    </x:row>
    <x:row r="181">
      <x:c r="A181" s="54" t="str">
        <x:v>SIM-S030</x:v>
      </x:c>
      <x:c r="B181" s="54" t="str">
        <x:v>Ag</x:v>
      </x:c>
      <x:c r="C181" s="45" t="str">
        <x:v>16.33</x:v>
      </x:c>
      <x:c r="D181" s="45" t="n">
        <x:v>16.33</x:v>
      </x:c>
      <x:c r="E181" s="54" t="str">
        <x:v>mg/kg</x:v>
      </x:c>
      <x:c r="F181" s="45" t="n">
        <x:v>0.1</x:v>
      </x:c>
      <x:c r="G181" s="45" t="str">
        <x:v>模拟检测法-Ag</x:v>
      </x:c>
      <x:c r="H181" s="63" t="n">
        <x:v>46298</x:v>
      </x:c>
      <x:c r="I181" s="54" t="str">
        <x:v>SIM-LAB-01</x:v>
      </x:c>
      <x:c r="J181" s="45" t="str">
        <x:v>人工模拟结果，无对应检测报告</x:v>
      </x:c>
    </x:row>
    <x:row r="182">
      <x:c r="A182" s="54" t="str">
        <x:v>SIM-S030</x:v>
      </x:c>
      <x:c r="B182" s="54" t="str">
        <x:v>Cu</x:v>
      </x:c>
      <x:c r="C182" s="45" t="str">
        <x:v>0.2576</x:v>
      </x:c>
      <x:c r="D182" s="45" t="n">
        <x:v>0.2576</x:v>
      </x:c>
      <x:c r="E182" s="54" t="str">
        <x:v>%</x:v>
      </x:c>
      <x:c r="F182" s="45" t="n">
        <x:v>0.001</x:v>
      </x:c>
      <x:c r="G182" s="45" t="str">
        <x:v>模拟检测法-Cu</x:v>
      </x:c>
      <x:c r="H182" s="63" t="n">
        <x:v>46298</x:v>
      </x:c>
      <x:c r="I182" s="54" t="str">
        <x:v>SIM-LAB-01</x:v>
      </x:c>
      <x:c r="J182" s="45" t="str">
        <x:v>人工模拟结果，无对应检测报告</x:v>
      </x:c>
    </x:row>
    <x:row r="183">
      <x:c r="A183" s="54" t="str">
        <x:v>SIM-S030</x:v>
      </x:c>
      <x:c r="B183" s="54" t="str">
        <x:v>Pb</x:v>
      </x:c>
      <x:c r="C183" s="45" t="str">
        <x:v>1.0855</x:v>
      </x:c>
      <x:c r="D183" s="45" t="n">
        <x:v>1.0855</x:v>
      </x:c>
      <x:c r="E183" s="54" t="str">
        <x:v>%</x:v>
      </x:c>
      <x:c r="F183" s="45" t="n">
        <x:v>0.001</x:v>
      </x:c>
      <x:c r="G183" s="45" t="str">
        <x:v>模拟检测法-Pb</x:v>
      </x:c>
      <x:c r="H183" s="63" t="n">
        <x:v>46298</x:v>
      </x:c>
      <x:c r="I183" s="54" t="str">
        <x:v>SIM-LAB-01</x:v>
      </x:c>
      <x:c r="J183" s="45" t="str">
        <x:v>人工模拟结果，无对应检测报告</x:v>
      </x:c>
    </x:row>
    <x:row r="184">
      <x:c r="A184" s="54" t="str">
        <x:v>SIM-S030</x:v>
      </x:c>
      <x:c r="B184" s="54" t="str">
        <x:v>Zn</x:v>
      </x:c>
      <x:c r="C184" s="45" t="str">
        <x:v>2.1394</x:v>
      </x:c>
      <x:c r="D184" s="45" t="n">
        <x:v>2.1394</x:v>
      </x:c>
      <x:c r="E184" s="54" t="str">
        <x:v>%</x:v>
      </x:c>
      <x:c r="F184" s="45" t="n">
        <x:v>0.001</x:v>
      </x:c>
      <x:c r="G184" s="45" t="str">
        <x:v>模拟检测法-Zn</x:v>
      </x:c>
      <x:c r="H184" s="63" t="n">
        <x:v>46298</x:v>
      </x:c>
      <x:c r="I184" s="54" t="str">
        <x:v>SIM-LAB-01</x:v>
      </x:c>
      <x:c r="J184" s="45" t="str">
        <x:v>人工模拟结果，无对应检测报告</x:v>
      </x:c>
    </x:row>
    <x:row r="185">
      <x:c r="A185" s="54" t="str">
        <x:v>SIM-S030</x:v>
      </x:c>
      <x:c r="B185" s="54" t="str">
        <x:v>As</x:v>
      </x:c>
      <x:c r="C185" s="45" t="str">
        <x:v>90.0</x:v>
      </x:c>
      <x:c r="D185" s="45" t="n">
        <x:v>90</x:v>
      </x:c>
      <x:c r="E185" s="54" t="str">
        <x:v>mg/kg</x:v>
      </x:c>
      <x:c r="F185" s="45" t="n">
        <x:v>1</x:v>
      </x:c>
      <x:c r="G185" s="45" t="str">
        <x:v>模拟检测法-As</x:v>
      </x:c>
      <x:c r="H185" s="63" t="n">
        <x:v>46298</x:v>
      </x:c>
      <x:c r="I185" s="54" t="str">
        <x:v>SIM-LAB-01</x:v>
      </x:c>
      <x:c r="J185" s="45" t="str">
        <x:v>人工模拟结果，无对应检测报告</x:v>
      </x:c>
    </x:row>
    <x:row r="186">
      <x:c r="A186" s="54" t="str">
        <x:v>SIM-S031</x:v>
      </x:c>
      <x:c r="B186" s="54" t="str">
        <x:v>Au</x:v>
      </x:c>
      <x:c r="C186" s="45" t="str">
        <x:v>1.423</x:v>
      </x:c>
      <x:c r="D186" s="45" t="n">
        <x:v>1.423</x:v>
      </x:c>
      <x:c r="E186" s="54" t="str">
        <x:v>mg/kg</x:v>
      </x:c>
      <x:c r="F186" s="45" t="n">
        <x:v>0.005</x:v>
      </x:c>
      <x:c r="G186" s="45" t="str">
        <x:v>模拟检测法-Au</x:v>
      </x:c>
      <x:c r="H186" s="63" t="n">
        <x:v>46299</x:v>
      </x:c>
      <x:c r="I186" s="54" t="str">
        <x:v>SIM-LAB-02</x:v>
      </x:c>
      <x:c r="J186" s="45" t="str">
        <x:v>人工模拟结果，无对应检测报告</x:v>
      </x:c>
    </x:row>
    <x:row r="187">
      <x:c r="A187" s="54" t="str">
        <x:v>SIM-S031</x:v>
      </x:c>
      <x:c r="B187" s="54" t="str">
        <x:v>Ag</x:v>
      </x:c>
      <x:c r="C187" s="45" t="str">
        <x:v>12.95</x:v>
      </x:c>
      <x:c r="D187" s="45" t="n">
        <x:v>12.95</x:v>
      </x:c>
      <x:c r="E187" s="54" t="str">
        <x:v>mg/kg</x:v>
      </x:c>
      <x:c r="F187" s="45" t="n">
        <x:v>0.1</x:v>
      </x:c>
      <x:c r="G187" s="45" t="str">
        <x:v>模拟检测法-Ag</x:v>
      </x:c>
      <x:c r="H187" s="63" t="n">
        <x:v>46299</x:v>
      </x:c>
      <x:c r="I187" s="54" t="str">
        <x:v>SIM-LAB-02</x:v>
      </x:c>
      <x:c r="J187" s="45" t="str">
        <x:v>人工模拟结果，无对应检测报告</x:v>
      </x:c>
    </x:row>
    <x:row r="188">
      <x:c r="A188" s="54" t="str">
        <x:v>SIM-S031</x:v>
      </x:c>
      <x:c r="B188" s="54" t="str">
        <x:v>Cu</x:v>
      </x:c>
      <x:c r="C188" s="45" t="str">
        <x:v>0.1991</x:v>
      </x:c>
      <x:c r="D188" s="45" t="n">
        <x:v>0.1991</x:v>
      </x:c>
      <x:c r="E188" s="54" t="str">
        <x:v>%</x:v>
      </x:c>
      <x:c r="F188" s="45" t="n">
        <x:v>0.001</x:v>
      </x:c>
      <x:c r="G188" s="45" t="str">
        <x:v>模拟检测法-Cu</x:v>
      </x:c>
      <x:c r="H188" s="63" t="n">
        <x:v>46299</x:v>
      </x:c>
      <x:c r="I188" s="54" t="str">
        <x:v>SIM-LAB-02</x:v>
      </x:c>
      <x:c r="J188" s="45" t="str">
        <x:v>人工模拟结果，无对应检测报告</x:v>
      </x:c>
    </x:row>
    <x:row r="189">
      <x:c r="A189" s="54" t="str">
        <x:v>SIM-S031</x:v>
      </x:c>
      <x:c r="B189" s="54" t="str">
        <x:v>Pb</x:v>
      </x:c>
      <x:c r="C189" s="45" t="str">
        <x:v>0.8366</x:v>
      </x:c>
      <x:c r="D189" s="45" t="n">
        <x:v>0.8366</x:v>
      </x:c>
      <x:c r="E189" s="54" t="str">
        <x:v>%</x:v>
      </x:c>
      <x:c r="F189" s="45" t="n">
        <x:v>0.001</x:v>
      </x:c>
      <x:c r="G189" s="45" t="str">
        <x:v>模拟检测法-Pb</x:v>
      </x:c>
      <x:c r="H189" s="63" t="n">
        <x:v>46299</x:v>
      </x:c>
      <x:c r="I189" s="54" t="str">
        <x:v>SIM-LAB-02</x:v>
      </x:c>
      <x:c r="J189" s="45" t="str">
        <x:v>人工模拟结果，无对应检测报告</x:v>
      </x:c>
    </x:row>
    <x:row r="190">
      <x:c r="A190" s="54" t="str">
        <x:v>SIM-S031</x:v>
      </x:c>
      <x:c r="B190" s="54" t="str">
        <x:v>Zn</x:v>
      </x:c>
      <x:c r="C190" s="45" t="str">
        <x:v>1.6449</x:v>
      </x:c>
      <x:c r="D190" s="45" t="n">
        <x:v>1.6449</x:v>
      </x:c>
      <x:c r="E190" s="54" t="str">
        <x:v>%</x:v>
      </x:c>
      <x:c r="F190" s="45" t="n">
        <x:v>0.001</x:v>
      </x:c>
      <x:c r="G190" s="45" t="str">
        <x:v>模拟检测法-Zn</x:v>
      </x:c>
      <x:c r="H190" s="63" t="n">
        <x:v>46299</x:v>
      </x:c>
      <x:c r="I190" s="54" t="str">
        <x:v>SIM-LAB-02</x:v>
      </x:c>
      <x:c r="J190" s="45" t="str">
        <x:v>人工模拟结果，无对应检测报告</x:v>
      </x:c>
    </x:row>
    <x:row r="191">
      <x:c r="A191" s="54" t="str">
        <x:v>SIM-S031</x:v>
      </x:c>
      <x:c r="B191" s="54" t="str">
        <x:v>As</x:v>
      </x:c>
      <x:c r="C191" s="45" t="str">
        <x:v>69.2</x:v>
      </x:c>
      <x:c r="D191" s="45" t="n">
        <x:v>69.2</x:v>
      </x:c>
      <x:c r="E191" s="54" t="str">
        <x:v>mg/kg</x:v>
      </x:c>
      <x:c r="F191" s="45" t="n">
        <x:v>1</x:v>
      </x:c>
      <x:c r="G191" s="45" t="str">
        <x:v>模拟检测法-As</x:v>
      </x:c>
      <x:c r="H191" s="63" t="n">
        <x:v>46299</x:v>
      </x:c>
      <x:c r="I191" s="54" t="str">
        <x:v>SIM-LAB-02</x:v>
      </x:c>
      <x:c r="J191" s="45" t="str">
        <x:v>人工模拟结果，无对应检测报告</x:v>
      </x:c>
    </x:row>
    <x:row r="192">
      <x:c r="A192" s="54" t="str">
        <x:v>SIM-S032</x:v>
      </x:c>
      <x:c r="B192" s="54" t="str">
        <x:v>Au</x:v>
      </x:c>
      <x:c r="C192" s="45" t="str">
        <x:v>1.032</x:v>
      </x:c>
      <x:c r="D192" s="45" t="n">
        <x:v>1.032</x:v>
      </x:c>
      <x:c r="E192" s="54" t="str">
        <x:v>mg/kg</x:v>
      </x:c>
      <x:c r="F192" s="45" t="n">
        <x:v>0.005</x:v>
      </x:c>
      <x:c r="G192" s="45" t="str">
        <x:v>模拟检测法-Au</x:v>
      </x:c>
      <x:c r="H192" s="63" t="n">
        <x:v>46299</x:v>
      </x:c>
      <x:c r="I192" s="54" t="str">
        <x:v>SIM-LAB-02</x:v>
      </x:c>
      <x:c r="J192" s="45" t="str">
        <x:v>人工模拟结果，无对应检测报告</x:v>
      </x:c>
    </x:row>
    <x:row r="193">
      <x:c r="A193" s="54" t="str">
        <x:v>SIM-S032</x:v>
      </x:c>
      <x:c r="B193" s="54" t="str">
        <x:v>Ag</x:v>
      </x:c>
      <x:c r="C193" s="45" t="str">
        <x:v>9.8</x:v>
      </x:c>
      <x:c r="D193" s="45" t="n">
        <x:v>9.8</x:v>
      </x:c>
      <x:c r="E193" s="54" t="str">
        <x:v>mg/kg</x:v>
      </x:c>
      <x:c r="F193" s="45" t="n">
        <x:v>0.1</x:v>
      </x:c>
      <x:c r="G193" s="45" t="str">
        <x:v>模拟检测法-Ag</x:v>
      </x:c>
      <x:c r="H193" s="63" t="n">
        <x:v>46299</x:v>
      </x:c>
      <x:c r="I193" s="54" t="str">
        <x:v>SIM-LAB-02</x:v>
      </x:c>
      <x:c r="J193" s="45" t="str">
        <x:v>人工模拟结果，无对应检测报告</x:v>
      </x:c>
    </x:row>
    <x:row r="194">
      <x:c r="A194" s="54" t="str">
        <x:v>SIM-S032</x:v>
      </x:c>
      <x:c r="B194" s="54" t="str">
        <x:v>Cu</x:v>
      </x:c>
      <x:c r="C194" s="45" t="str">
        <x:v>0.1457</x:v>
      </x:c>
      <x:c r="D194" s="45" t="n">
        <x:v>0.1457</x:v>
      </x:c>
      <x:c r="E194" s="54" t="str">
        <x:v>%</x:v>
      </x:c>
      <x:c r="F194" s="45" t="n">
        <x:v>0.001</x:v>
      </x:c>
      <x:c r="G194" s="45" t="str">
        <x:v>模拟检测法-Cu</x:v>
      </x:c>
      <x:c r="H194" s="63" t="n">
        <x:v>46299</x:v>
      </x:c>
      <x:c r="I194" s="54" t="str">
        <x:v>SIM-LAB-02</x:v>
      </x:c>
      <x:c r="J194" s="45" t="str">
        <x:v>人工模拟结果，无对应检测报告</x:v>
      </x:c>
    </x:row>
    <x:row r="195">
      <x:c r="A195" s="54" t="str">
        <x:v>SIM-S032</x:v>
      </x:c>
      <x:c r="B195" s="54" t="str">
        <x:v>Pb</x:v>
      </x:c>
      <x:c r="C195" s="45" t="str">
        <x:v>0.6071</x:v>
      </x:c>
      <x:c r="D195" s="45" t="n">
        <x:v>0.6071</x:v>
      </x:c>
      <x:c r="E195" s="54" t="str">
        <x:v>%</x:v>
      </x:c>
      <x:c r="F195" s="45" t="n">
        <x:v>0.001</x:v>
      </x:c>
      <x:c r="G195" s="45" t="str">
        <x:v>模拟检测法-Pb</x:v>
      </x:c>
      <x:c r="H195" s="63" t="n">
        <x:v>46299</x:v>
      </x:c>
      <x:c r="I195" s="54" t="str">
        <x:v>SIM-LAB-02</x:v>
      </x:c>
      <x:c r="J195" s="45" t="str">
        <x:v>人工模拟结果，无对应检测报告</x:v>
      </x:c>
    </x:row>
    <x:row r="196">
      <x:c r="A196" s="54" t="str">
        <x:v>SIM-S032</x:v>
      </x:c>
      <x:c r="B196" s="54" t="str">
        <x:v>Zn</x:v>
      </x:c>
      <x:c r="C196" s="45" t="str">
        <x:v>1.1954</x:v>
      </x:c>
      <x:c r="D196" s="45" t="n">
        <x:v>1.1954</x:v>
      </x:c>
      <x:c r="E196" s="54" t="str">
        <x:v>%</x:v>
      </x:c>
      <x:c r="F196" s="45" t="n">
        <x:v>0.001</x:v>
      </x:c>
      <x:c r="G196" s="45" t="str">
        <x:v>模拟检测法-Zn</x:v>
      </x:c>
      <x:c r="H196" s="63" t="n">
        <x:v>46299</x:v>
      </x:c>
      <x:c r="I196" s="54" t="str">
        <x:v>SIM-LAB-02</x:v>
      </x:c>
      <x:c r="J196" s="45" t="str">
        <x:v>人工模拟结果，无对应检测报告</x:v>
      </x:c>
    </x:row>
    <x:row r="197">
      <x:c r="A197" s="54" t="str">
        <x:v>SIM-S032</x:v>
      </x:c>
      <x:c r="B197" s="54" t="str">
        <x:v>As</x:v>
      </x:c>
      <x:c r="C197" s="45" t="str">
        <x:v>未检出</x:v>
      </x:c>
      <x:c r="D197" s="45"/>
      <x:c r="E197" s="54" t="str">
        <x:v>mg/kg</x:v>
      </x:c>
      <x:c r="F197" s="45" t="n">
        <x:v>1</x:v>
      </x:c>
      <x:c r="G197" s="45" t="str">
        <x:v>模拟检测法-As</x:v>
      </x:c>
      <x:c r="H197" s="63" t="n">
        <x:v>46299</x:v>
      </x:c>
      <x:c r="I197" s="54" t="str">
        <x:v>SIM-LAB-02</x:v>
      </x:c>
      <x:c r="J197" s="45" t="str">
        <x:v>人工模拟结果，无对应检测报告</x:v>
      </x:c>
    </x:row>
    <x:row r="198">
      <x:c r="A198" s="54" t="str">
        <x:v>SIM-S033</x:v>
      </x:c>
      <x:c r="B198" s="54" t="str">
        <x:v>Au</x:v>
      </x:c>
      <x:c r="C198" s="45" t="str">
        <x:v>0.716</x:v>
      </x:c>
      <x:c r="D198" s="45" t="n">
        <x:v>0.716</x:v>
      </x:c>
      <x:c r="E198" s="54" t="str">
        <x:v>mg/kg</x:v>
      </x:c>
      <x:c r="F198" s="45" t="n">
        <x:v>0.005</x:v>
      </x:c>
      <x:c r="G198" s="45" t="str">
        <x:v>模拟检测法-Au</x:v>
      </x:c>
      <x:c r="H198" s="63" t="n">
        <x:v>46299</x:v>
      </x:c>
      <x:c r="I198" s="54" t="str">
        <x:v>SIM-LAB-02</x:v>
      </x:c>
      <x:c r="J198" s="45" t="str">
        <x:v>人工模拟结果，无对应检测报告</x:v>
      </x:c>
    </x:row>
    <x:row r="199">
      <x:c r="A199" s="54" t="str">
        <x:v>SIM-S033</x:v>
      </x:c>
      <x:c r="B199" s="54" t="str">
        <x:v>Ag</x:v>
      </x:c>
      <x:c r="C199" s="45" t="str">
        <x:v>6.92</x:v>
      </x:c>
      <x:c r="D199" s="45" t="n">
        <x:v>6.92</x:v>
      </x:c>
      <x:c r="E199" s="54" t="str">
        <x:v>mg/kg</x:v>
      </x:c>
      <x:c r="F199" s="45" t="n">
        <x:v>0.1</x:v>
      </x:c>
      <x:c r="G199" s="45" t="str">
        <x:v>模拟检测法-Ag</x:v>
      </x:c>
      <x:c r="H199" s="63" t="n">
        <x:v>46299</x:v>
      </x:c>
      <x:c r="I199" s="54" t="str">
        <x:v>SIM-LAB-02</x:v>
      </x:c>
      <x:c r="J199" s="45" t="str">
        <x:v>人工模拟结果，无对应检测报告</x:v>
      </x:c>
    </x:row>
    <x:row r="200">
      <x:c r="A200" s="54" t="str">
        <x:v>SIM-S033</x:v>
      </x:c>
      <x:c r="B200" s="54" t="str">
        <x:v>Cu</x:v>
      </x:c>
      <x:c r="C200" s="45" t="str">
        <x:v>0.1017</x:v>
      </x:c>
      <x:c r="D200" s="45" t="n">
        <x:v>0.1017</x:v>
      </x:c>
      <x:c r="E200" s="54" t="str">
        <x:v>%</x:v>
      </x:c>
      <x:c r="F200" s="45" t="n">
        <x:v>0.001</x:v>
      </x:c>
      <x:c r="G200" s="45" t="str">
        <x:v>模拟检测法-Cu</x:v>
      </x:c>
      <x:c r="H200" s="63" t="n">
        <x:v>46299</x:v>
      </x:c>
      <x:c r="I200" s="54" t="str">
        <x:v>SIM-LAB-02</x:v>
      </x:c>
      <x:c r="J200" s="45" t="str">
        <x:v>人工模拟结果，无对应检测报告</x:v>
      </x:c>
    </x:row>
    <x:row r="201">
      <x:c r="A201" s="54" t="str">
        <x:v>SIM-S033</x:v>
      </x:c>
      <x:c r="B201" s="54" t="str">
        <x:v>Pb</x:v>
      </x:c>
      <x:c r="C201" s="45" t="str">
        <x:v>0.417</x:v>
      </x:c>
      <x:c r="D201" s="45" t="n">
        <x:v>0.417</x:v>
      </x:c>
      <x:c r="E201" s="54" t="str">
        <x:v>%</x:v>
      </x:c>
      <x:c r="F201" s="45" t="n">
        <x:v>0.001</x:v>
      </x:c>
      <x:c r="G201" s="45" t="str">
        <x:v>模拟检测法-Pb</x:v>
      </x:c>
      <x:c r="H201" s="63" t="n">
        <x:v>46299</x:v>
      </x:c>
      <x:c r="I201" s="54" t="str">
        <x:v>SIM-LAB-02</x:v>
      </x:c>
      <x:c r="J201" s="45" t="str">
        <x:v>人工模拟结果，无对应检测报告</x:v>
      </x:c>
    </x:row>
    <x:row r="202">
      <x:c r="A202" s="54" t="str">
        <x:v>SIM-S033</x:v>
      </x:c>
      <x:c r="B202" s="54" t="str">
        <x:v>Zn</x:v>
      </x:c>
      <x:c r="C202" s="45" t="str">
        <x:v>0.827</x:v>
      </x:c>
      <x:c r="D202" s="45" t="n">
        <x:v>0.827</x:v>
      </x:c>
      <x:c r="E202" s="54" t="str">
        <x:v>%</x:v>
      </x:c>
      <x:c r="F202" s="45" t="n">
        <x:v>0.001</x:v>
      </x:c>
      <x:c r="G202" s="45" t="str">
        <x:v>模拟检测法-Zn</x:v>
      </x:c>
      <x:c r="H202" s="63" t="n">
        <x:v>46299</x:v>
      </x:c>
      <x:c r="I202" s="54" t="str">
        <x:v>SIM-LAB-02</x:v>
      </x:c>
      <x:c r="J202" s="45" t="str">
        <x:v>人工模拟结果，无对应检测报告</x:v>
      </x:c>
    </x:row>
    <x:row r="203">
      <x:c r="A203" s="54" t="str">
        <x:v>SIM-S033</x:v>
      </x:c>
      <x:c r="B203" s="54" t="str">
        <x:v>As</x:v>
      </x:c>
      <x:c r="C203" s="45" t="str">
        <x:v>34.8</x:v>
      </x:c>
      <x:c r="D203" s="45" t="n">
        <x:v>34.8</x:v>
      </x:c>
      <x:c r="E203" s="54" t="str">
        <x:v>mg/kg</x:v>
      </x:c>
      <x:c r="F203" s="45" t="n">
        <x:v>1</x:v>
      </x:c>
      <x:c r="G203" s="45" t="str">
        <x:v>模拟检测法-As</x:v>
      </x:c>
      <x:c r="H203" s="63" t="n">
        <x:v>46299</x:v>
      </x:c>
      <x:c r="I203" s="54" t="str">
        <x:v>SIM-LAB-02</x:v>
      </x:c>
      <x:c r="J203" s="45" t="str">
        <x:v>人工模拟结果，无对应检测报告</x:v>
      </x:c>
    </x:row>
    <x:row r="204">
      <x:c r="A204" s="54" t="str">
        <x:v>SIM-S034</x:v>
      </x:c>
      <x:c r="B204" s="54" t="str">
        <x:v>Au</x:v>
      </x:c>
      <x:c r="C204" s="45" t="str">
        <x:v>0.474</x:v>
      </x:c>
      <x:c r="D204" s="45" t="n">
        <x:v>0.474</x:v>
      </x:c>
      <x:c r="E204" s="54" t="str">
        <x:v>mg/kg</x:v>
      </x:c>
      <x:c r="F204" s="45" t="n">
        <x:v>0.005</x:v>
      </x:c>
      <x:c r="G204" s="45" t="str">
        <x:v>模拟检测法-Au</x:v>
      </x:c>
      <x:c r="H204" s="63" t="n">
        <x:v>46299</x:v>
      </x:c>
      <x:c r="I204" s="54" t="str">
        <x:v>SIM-LAB-02</x:v>
      </x:c>
      <x:c r="J204" s="45" t="str">
        <x:v>人工模拟结果，无对应检测报告</x:v>
      </x:c>
    </x:row>
    <x:row r="205">
      <x:c r="A205" s="54" t="str">
        <x:v>SIM-S034</x:v>
      </x:c>
      <x:c r="B205" s="54" t="str">
        <x:v>Ag</x:v>
      </x:c>
      <x:c r="C205" s="45" t="str">
        <x:v>4.44</x:v>
      </x:c>
      <x:c r="D205" s="45" t="n">
        <x:v>4.44</x:v>
      </x:c>
      <x:c r="E205" s="54" t="str">
        <x:v>mg/kg</x:v>
      </x:c>
      <x:c r="F205" s="45" t="n">
        <x:v>0.1</x:v>
      </x:c>
      <x:c r="G205" s="45" t="str">
        <x:v>模拟检测法-Ag</x:v>
      </x:c>
      <x:c r="H205" s="63" t="n">
        <x:v>46299</x:v>
      </x:c>
      <x:c r="I205" s="54" t="str">
        <x:v>SIM-LAB-02</x:v>
      </x:c>
      <x:c r="J205" s="45" t="str">
        <x:v>人工模拟结果，无对应检测报告</x:v>
      </x:c>
    </x:row>
    <x:row r="206">
      <x:c r="A206" s="54" t="str">
        <x:v>SIM-S034</x:v>
      </x:c>
      <x:c r="B206" s="54" t="str">
        <x:v>Cu</x:v>
      </x:c>
      <x:c r="C206" s="45" t="str">
        <x:v>0.0688</x:v>
      </x:c>
      <x:c r="D206" s="45" t="n">
        <x:v>0.0688</x:v>
      </x:c>
      <x:c r="E206" s="54" t="str">
        <x:v>%</x:v>
      </x:c>
      <x:c r="F206" s="45" t="n">
        <x:v>0.001</x:v>
      </x:c>
      <x:c r="G206" s="45" t="str">
        <x:v>模拟检测法-Cu</x:v>
      </x:c>
      <x:c r="H206" s="63" t="n">
        <x:v>46299</x:v>
      </x:c>
      <x:c r="I206" s="54" t="str">
        <x:v>SIM-LAB-02</x:v>
      </x:c>
      <x:c r="J206" s="45" t="str">
        <x:v>人工模拟结果，无对应检测报告</x:v>
      </x:c>
    </x:row>
    <x:row r="207">
      <x:c r="A207" s="54" t="str">
        <x:v>SIM-S034</x:v>
      </x:c>
      <x:c r="B207" s="54" t="str">
        <x:v>Pb</x:v>
      </x:c>
      <x:c r="C207" s="45" t="str">
        <x:v>0.2736</x:v>
      </x:c>
      <x:c r="D207" s="45" t="n">
        <x:v>0.2736</x:v>
      </x:c>
      <x:c r="E207" s="54" t="str">
        <x:v>%</x:v>
      </x:c>
      <x:c r="F207" s="45" t="n">
        <x:v>0.001</x:v>
      </x:c>
      <x:c r="G207" s="45" t="str">
        <x:v>模拟检测法-Pb</x:v>
      </x:c>
      <x:c r="H207" s="63" t="n">
        <x:v>46299</x:v>
      </x:c>
      <x:c r="I207" s="54" t="str">
        <x:v>SIM-LAB-02</x:v>
      </x:c>
      <x:c r="J207" s="45" t="str">
        <x:v>人工模拟结果，无对应检测报告</x:v>
      </x:c>
    </x:row>
    <x:row r="208">
      <x:c r="A208" s="54" t="str">
        <x:v>SIM-S034</x:v>
      </x:c>
      <x:c r="B208" s="54" t="str">
        <x:v>Zn</x:v>
      </x:c>
      <x:c r="C208" s="45" t="str">
        <x:v>0.5504</x:v>
      </x:c>
      <x:c r="D208" s="45" t="n">
        <x:v>0.5504</x:v>
      </x:c>
      <x:c r="E208" s="54" t="str">
        <x:v>%</x:v>
      </x:c>
      <x:c r="F208" s="45" t="n">
        <x:v>0.001</x:v>
      </x:c>
      <x:c r="G208" s="45" t="str">
        <x:v>模拟检测法-Zn</x:v>
      </x:c>
      <x:c r="H208" s="63" t="n">
        <x:v>46299</x:v>
      </x:c>
      <x:c r="I208" s="54" t="str">
        <x:v>SIM-LAB-02</x:v>
      </x:c>
      <x:c r="J208" s="45" t="str">
        <x:v>人工模拟结果，无对应检测报告</x:v>
      </x:c>
    </x:row>
    <x:row r="209">
      <x:c r="A209" s="54" t="str">
        <x:v>SIM-S034</x:v>
      </x:c>
      <x:c r="B209" s="54" t="str">
        <x:v>As</x:v>
      </x:c>
      <x:c r="C209" s="45" t="str">
        <x:v>23.5</x:v>
      </x:c>
      <x:c r="D209" s="45" t="n">
        <x:v>23.5</x:v>
      </x:c>
      <x:c r="E209" s="54" t="str">
        <x:v>mg/kg</x:v>
      </x:c>
      <x:c r="F209" s="45" t="n">
        <x:v>1</x:v>
      </x:c>
      <x:c r="G209" s="45" t="str">
        <x:v>模拟检测法-As</x:v>
      </x:c>
      <x:c r="H209" s="63" t="n">
        <x:v>46299</x:v>
      </x:c>
      <x:c r="I209" s="54" t="str">
        <x:v>SIM-LAB-02</x:v>
      </x:c>
      <x:c r="J209" s="45" t="str">
        <x:v>人工模拟结果，无对应检测报告</x:v>
      </x:c>
    </x:row>
    <x:row r="210">
      <x:c r="A210" s="54" t="str">
        <x:v>SIM-S035</x:v>
      </x:c>
      <x:c r="B210" s="54" t="str">
        <x:v>Au</x:v>
      </x:c>
      <x:c r="C210" s="45" t="str">
        <x:v>0.293</x:v>
      </x:c>
      <x:c r="D210" s="45" t="n">
        <x:v>0.293</x:v>
      </x:c>
      <x:c r="E210" s="54" t="str">
        <x:v>mg/kg</x:v>
      </x:c>
      <x:c r="F210" s="45" t="n">
        <x:v>0.005</x:v>
      </x:c>
      <x:c r="G210" s="45" t="str">
        <x:v>模拟检测法-Au</x:v>
      </x:c>
      <x:c r="H210" s="63" t="n">
        <x:v>46299</x:v>
      </x:c>
      <x:c r="I210" s="54" t="str">
        <x:v>SIM-LAB-02</x:v>
      </x:c>
      <x:c r="J210" s="45" t="str">
        <x:v>人工模拟结果，无对应检测报告</x:v>
      </x:c>
    </x:row>
    <x:row r="211">
      <x:c r="A211" s="54" t="str">
        <x:v>SIM-S035</x:v>
      </x:c>
      <x:c r="B211" s="54" t="str">
        <x:v>Ag</x:v>
      </x:c>
      <x:c r="C211" s="45" t="str">
        <x:v>2.62</x:v>
      </x:c>
      <x:c r="D211" s="45" t="n">
        <x:v>2.62</x:v>
      </x:c>
      <x:c r="E211" s="54" t="str">
        <x:v>mg/kg</x:v>
      </x:c>
      <x:c r="F211" s="45" t="n">
        <x:v>0.1</x:v>
      </x:c>
      <x:c r="G211" s="45" t="str">
        <x:v>模拟检测法-Ag</x:v>
      </x:c>
      <x:c r="H211" s="63" t="n">
        <x:v>46299</x:v>
      </x:c>
      <x:c r="I211" s="54" t="str">
        <x:v>SIM-LAB-02</x:v>
      </x:c>
      <x:c r="J211" s="45" t="str">
        <x:v>人工模拟结果，无对应检测报告</x:v>
      </x:c>
    </x:row>
    <x:row r="212">
      <x:c r="A212" s="54" t="str">
        <x:v>SIM-S035</x:v>
      </x:c>
      <x:c r="B212" s="54" t="str">
        <x:v>Cu</x:v>
      </x:c>
      <x:c r="C212" s="45" t="str">
        <x:v>0.0462</x:v>
      </x:c>
      <x:c r="D212" s="45" t="n">
        <x:v>0.0462</x:v>
      </x:c>
      <x:c r="E212" s="54" t="str">
        <x:v>%</x:v>
      </x:c>
      <x:c r="F212" s="45" t="n">
        <x:v>0.001</x:v>
      </x:c>
      <x:c r="G212" s="45" t="str">
        <x:v>模拟检测法-Cu</x:v>
      </x:c>
      <x:c r="H212" s="63" t="n">
        <x:v>46299</x:v>
      </x:c>
      <x:c r="I212" s="54" t="str">
        <x:v>SIM-LAB-02</x:v>
      </x:c>
      <x:c r="J212" s="45" t="str">
        <x:v>人工模拟结果，无对应检测报告</x:v>
      </x:c>
    </x:row>
    <x:row r="213">
      <x:c r="A213" s="54" t="str">
        <x:v>SIM-S035</x:v>
      </x:c>
      <x:c r="B213" s="54" t="str">
        <x:v>Pb</x:v>
      </x:c>
      <x:c r="C213" s="45" t="str">
        <x:v>0.1742</x:v>
      </x:c>
      <x:c r="D213" s="45" t="n">
        <x:v>0.1742</x:v>
      </x:c>
      <x:c r="E213" s="54" t="str">
        <x:v>%</x:v>
      </x:c>
      <x:c r="F213" s="45" t="n">
        <x:v>0.001</x:v>
      </x:c>
      <x:c r="G213" s="45" t="str">
        <x:v>模拟检测法-Pb</x:v>
      </x:c>
      <x:c r="H213" s="63" t="n">
        <x:v>46299</x:v>
      </x:c>
      <x:c r="I213" s="54" t="str">
        <x:v>SIM-LAB-02</x:v>
      </x:c>
      <x:c r="J213" s="45" t="str">
        <x:v>人工模拟结果，无对应检测报告</x:v>
      </x:c>
    </x:row>
    <x:row r="214">
      <x:c r="A214" s="54" t="str">
        <x:v>SIM-S035</x:v>
      </x:c>
      <x:c r="B214" s="54" t="str">
        <x:v>Zn</x:v>
      </x:c>
      <x:c r="C214" s="45" t="str">
        <x:v>0.3569</x:v>
      </x:c>
      <x:c r="D214" s="45" t="n">
        <x:v>0.3569</x:v>
      </x:c>
      <x:c r="E214" s="54" t="str">
        <x:v>%</x:v>
      </x:c>
      <x:c r="F214" s="45" t="n">
        <x:v>0.001</x:v>
      </x:c>
      <x:c r="G214" s="45" t="str">
        <x:v>模拟检测法-Zn</x:v>
      </x:c>
      <x:c r="H214" s="63" t="n">
        <x:v>46299</x:v>
      </x:c>
      <x:c r="I214" s="54" t="str">
        <x:v>SIM-LAB-02</x:v>
      </x:c>
      <x:c r="J214" s="45" t="str">
        <x:v>人工模拟结果，无对应检测报告</x:v>
      </x:c>
    </x:row>
    <x:row r="215">
      <x:c r="A215" s="54" t="str">
        <x:v>SIM-S035</x:v>
      </x:c>
      <x:c r="B215" s="54" t="str">
        <x:v>As</x:v>
      </x:c>
      <x:c r="C215" s="45" t="str">
        <x:v>16.0</x:v>
      </x:c>
      <x:c r="D215" s="45" t="n">
        <x:v>16</x:v>
      </x:c>
      <x:c r="E215" s="54" t="str">
        <x:v>mg/kg</x:v>
      </x:c>
      <x:c r="F215" s="45" t="n">
        <x:v>1</x:v>
      </x:c>
      <x:c r="G215" s="45" t="str">
        <x:v>模拟检测法-As</x:v>
      </x:c>
      <x:c r="H215" s="63" t="n">
        <x:v>46299</x:v>
      </x:c>
      <x:c r="I215" s="54" t="str">
        <x:v>SIM-LAB-02</x:v>
      </x:c>
      <x:c r="J215" s="45" t="str">
        <x:v>人工模拟结果，无对应检测报告</x:v>
      </x:c>
    </x:row>
    <x:row r="216">
      <x:c r="A216" s="54" t="str">
        <x:v>SIM-S036</x:v>
      </x:c>
      <x:c r="B216" s="54" t="str">
        <x:v>Au</x:v>
      </x:c>
      <x:c r="C216" s="45" t="str">
        <x:v>0.166</x:v>
      </x:c>
      <x:c r="D216" s="45" t="n">
        <x:v>0.166</x:v>
      </x:c>
      <x:c r="E216" s="54" t="str">
        <x:v>mg/kg</x:v>
      </x:c>
      <x:c r="F216" s="45" t="n">
        <x:v>0.005</x:v>
      </x:c>
      <x:c r="G216" s="45" t="str">
        <x:v>模拟检测法-Au</x:v>
      </x:c>
      <x:c r="H216" s="63" t="n">
        <x:v>46299</x:v>
      </x:c>
      <x:c r="I216" s="54" t="str">
        <x:v>SIM-LAB-02</x:v>
      </x:c>
      <x:c r="J216" s="45" t="str">
        <x:v>人工模拟结果，无对应检测报告</x:v>
      </x:c>
    </x:row>
    <x:row r="217">
      <x:c r="A217" s="54" t="str">
        <x:v>SIM-S036</x:v>
      </x:c>
      <x:c r="B217" s="54" t="str">
        <x:v>Ag</x:v>
      </x:c>
      <x:c r="C217" s="45" t="str">
        <x:v>1.66</x:v>
      </x:c>
      <x:c r="D217" s="45" t="n">
        <x:v>1.66</x:v>
      </x:c>
      <x:c r="E217" s="54" t="str">
        <x:v>mg/kg</x:v>
      </x:c>
      <x:c r="F217" s="45" t="n">
        <x:v>0.1</x:v>
      </x:c>
      <x:c r="G217" s="45" t="str">
        <x:v>模拟检测法-Ag</x:v>
      </x:c>
      <x:c r="H217" s="63" t="n">
        <x:v>46299</x:v>
      </x:c>
      <x:c r="I217" s="54" t="str">
        <x:v>SIM-LAB-02</x:v>
      </x:c>
      <x:c r="J217" s="45" t="str">
        <x:v>人工模拟结果，无对应检测报告</x:v>
      </x:c>
    </x:row>
    <x:row r="218">
      <x:c r="A218" s="54" t="str">
        <x:v>SIM-S036</x:v>
      </x:c>
      <x:c r="B218" s="54" t="str">
        <x:v>Cu</x:v>
      </x:c>
      <x:c r="C218" s="45" t="str">
        <x:v>0.0317</x:v>
      </x:c>
      <x:c r="D218" s="45" t="n">
        <x:v>0.0317</x:v>
      </x:c>
      <x:c r="E218" s="54" t="str">
        <x:v>%</x:v>
      </x:c>
      <x:c r="F218" s="45" t="n">
        <x:v>0.001</x:v>
      </x:c>
      <x:c r="G218" s="45" t="str">
        <x:v>模拟检测法-Cu</x:v>
      </x:c>
      <x:c r="H218" s="63" t="n">
        <x:v>46299</x:v>
      </x:c>
      <x:c r="I218" s="54" t="str">
        <x:v>SIM-LAB-02</x:v>
      </x:c>
      <x:c r="J218" s="45" t="str">
        <x:v>人工模拟结果，无对应检测报告</x:v>
      </x:c>
    </x:row>
    <x:row r="219">
      <x:c r="A219" s="54" t="str">
        <x:v>SIM-S036</x:v>
      </x:c>
      <x:c r="B219" s="54" t="str">
        <x:v>Pb</x:v>
      </x:c>
      <x:c r="C219" s="45" t="str">
        <x:v>0.1104</x:v>
      </x:c>
      <x:c r="D219" s="45" t="n">
        <x:v>0.1104</x:v>
      </x:c>
      <x:c r="E219" s="54" t="str">
        <x:v>%</x:v>
      </x:c>
      <x:c r="F219" s="45" t="n">
        <x:v>0.001</x:v>
      </x:c>
      <x:c r="G219" s="45" t="str">
        <x:v>模拟检测法-Pb</x:v>
      </x:c>
      <x:c r="H219" s="63" t="n">
        <x:v>46299</x:v>
      </x:c>
      <x:c r="I219" s="54" t="str">
        <x:v>SIM-LAB-02</x:v>
      </x:c>
      <x:c r="J219" s="45" t="str">
        <x:v>人工模拟结果，无对应检测报告</x:v>
      </x:c>
    </x:row>
    <x:row r="220">
      <x:c r="A220" s="54" t="str">
        <x:v>SIM-S036</x:v>
      </x:c>
      <x:c r="B220" s="54" t="str">
        <x:v>Zn</x:v>
      </x:c>
      <x:c r="C220" s="45" t="str">
        <x:v>0.2284</x:v>
      </x:c>
      <x:c r="D220" s="45" t="n">
        <x:v>0.2284</x:v>
      </x:c>
      <x:c r="E220" s="54" t="str">
        <x:v>%</x:v>
      </x:c>
      <x:c r="F220" s="45" t="n">
        <x:v>0.001</x:v>
      </x:c>
      <x:c r="G220" s="45" t="str">
        <x:v>模拟检测法-Zn</x:v>
      </x:c>
      <x:c r="H220" s="63" t="n">
        <x:v>46299</x:v>
      </x:c>
      <x:c r="I220" s="54" t="str">
        <x:v>SIM-LAB-02</x:v>
      </x:c>
      <x:c r="J220" s="45" t="str">
        <x:v>人工模拟结果，无对应检测报告</x:v>
      </x:c>
    </x:row>
    <x:row r="221">
      <x:c r="A221" s="54" t="str">
        <x:v>SIM-S036</x:v>
      </x:c>
      <x:c r="B221" s="54" t="str">
        <x:v>As</x:v>
      </x:c>
      <x:c r="C221" s="45" t="str">
        <x:v>11.7</x:v>
      </x:c>
      <x:c r="D221" s="45" t="n">
        <x:v>11.7</x:v>
      </x:c>
      <x:c r="E221" s="54" t="str">
        <x:v>mg/kg</x:v>
      </x:c>
      <x:c r="F221" s="45" t="n">
        <x:v>1</x:v>
      </x:c>
      <x:c r="G221" s="45" t="str">
        <x:v>模拟检测法-As</x:v>
      </x:c>
      <x:c r="H221" s="63" t="n">
        <x:v>46299</x:v>
      </x:c>
      <x:c r="I221" s="54" t="str">
        <x:v>SIM-LAB-02</x:v>
      </x:c>
      <x:c r="J221" s="45" t="str">
        <x:v>人工模拟结果，无对应检测报告</x:v>
      </x:c>
    </x:row>
    <x:row r="222">
      <x:c r="A222" s="54" t="str">
        <x:v>SIM-S037</x:v>
      </x:c>
      <x:c r="B222" s="54" t="str">
        <x:v>Au</x:v>
      </x:c>
      <x:c r="C222" s="45" t="str">
        <x:v>0.092</x:v>
      </x:c>
      <x:c r="D222" s="45" t="n">
        <x:v>0.092</x:v>
      </x:c>
      <x:c r="E222" s="54" t="str">
        <x:v>mg/kg</x:v>
      </x:c>
      <x:c r="F222" s="45" t="n">
        <x:v>0.005</x:v>
      </x:c>
      <x:c r="G222" s="45" t="str">
        <x:v>模拟检测法-Au</x:v>
      </x:c>
      <x:c r="H222" s="63" t="n">
        <x:v>46299</x:v>
      </x:c>
      <x:c r="I222" s="54" t="str">
        <x:v>SIM-LAB-02</x:v>
      </x:c>
      <x:c r="J222" s="45" t="str">
        <x:v>人工模拟结果，无对应检测报告</x:v>
      </x:c>
    </x:row>
    <x:row r="223">
      <x:c r="A223" s="54" t="str">
        <x:v>SIM-S037</x:v>
      </x:c>
      <x:c r="B223" s="54" t="str">
        <x:v>Ag</x:v>
      </x:c>
      <x:c r="C223" s="45" t="str">
        <x:v>1.42</x:v>
      </x:c>
      <x:c r="D223" s="45" t="n">
        <x:v>1.42</x:v>
      </x:c>
      <x:c r="E223" s="54" t="str">
        <x:v>mg/kg</x:v>
      </x:c>
      <x:c r="F223" s="45" t="n">
        <x:v>0.1</x:v>
      </x:c>
      <x:c r="G223" s="45" t="str">
        <x:v>模拟检测法-Ag</x:v>
      </x:c>
      <x:c r="H223" s="63" t="n">
        <x:v>46299</x:v>
      </x:c>
      <x:c r="I223" s="54" t="str">
        <x:v>SIM-LAB-02</x:v>
      </x:c>
      <x:c r="J223" s="45" t="str">
        <x:v>人工模拟结果，无对应检测报告</x:v>
      </x:c>
    </x:row>
    <x:row r="224">
      <x:c r="A224" s="54" t="str">
        <x:v>SIM-S037</x:v>
      </x:c>
      <x:c r="B224" s="54" t="str">
        <x:v>Cu</x:v>
      </x:c>
      <x:c r="C224" s="45" t="str">
        <x:v>0.0229</x:v>
      </x:c>
      <x:c r="D224" s="45" t="n">
        <x:v>0.0229</x:v>
      </x:c>
      <x:c r="E224" s="54" t="str">
        <x:v>%</x:v>
      </x:c>
      <x:c r="F224" s="45" t="n">
        <x:v>0.001</x:v>
      </x:c>
      <x:c r="G224" s="45" t="str">
        <x:v>模拟检测法-Cu</x:v>
      </x:c>
      <x:c r="H224" s="63" t="n">
        <x:v>46299</x:v>
      </x:c>
      <x:c r="I224" s="54" t="str">
        <x:v>SIM-LAB-02</x:v>
      </x:c>
      <x:c r="J224" s="45" t="str">
        <x:v>人工模拟结果，无对应检测报告</x:v>
      </x:c>
    </x:row>
    <x:row r="225">
      <x:c r="A225" s="54" t="str">
        <x:v>SIM-S037</x:v>
      </x:c>
      <x:c r="B225" s="54" t="str">
        <x:v>Pb</x:v>
      </x:c>
      <x:c r="C225" s="45" t="str">
        <x:v>0.0722</x:v>
      </x:c>
      <x:c r="D225" s="45" t="n">
        <x:v>0.0722</x:v>
      </x:c>
      <x:c r="E225" s="54" t="str">
        <x:v>%</x:v>
      </x:c>
      <x:c r="F225" s="45" t="n">
        <x:v>0.001</x:v>
      </x:c>
      <x:c r="G225" s="45" t="str">
        <x:v>模拟检测法-Pb</x:v>
      </x:c>
      <x:c r="H225" s="63" t="n">
        <x:v>46299</x:v>
      </x:c>
      <x:c r="I225" s="54" t="str">
        <x:v>SIM-LAB-02</x:v>
      </x:c>
      <x:c r="J225" s="45" t="str">
        <x:v>人工模拟结果，无对应检测报告</x:v>
      </x:c>
    </x:row>
    <x:row r="226">
      <x:c r="A226" s="54" t="str">
        <x:v>SIM-S037</x:v>
      </x:c>
      <x:c r="B226" s="54" t="str">
        <x:v>Zn</x:v>
      </x:c>
      <x:c r="C226" s="45" t="str">
        <x:v>0.1458</x:v>
      </x:c>
      <x:c r="D226" s="45" t="n">
        <x:v>0.1458</x:v>
      </x:c>
      <x:c r="E226" s="54" t="str">
        <x:v>%</x:v>
      </x:c>
      <x:c r="F226" s="45" t="n">
        <x:v>0.001</x:v>
      </x:c>
      <x:c r="G226" s="45" t="str">
        <x:v>模拟检测法-Zn</x:v>
      </x:c>
      <x:c r="H226" s="63" t="n">
        <x:v>46299</x:v>
      </x:c>
      <x:c r="I226" s="54" t="str">
        <x:v>SIM-LAB-02</x:v>
      </x:c>
      <x:c r="J226" s="45" t="str">
        <x:v>人工模拟结果，无对应检测报告</x:v>
      </x:c>
    </x:row>
    <x:row r="227">
      <x:c r="A227" s="54" t="str">
        <x:v>SIM-S037</x:v>
      </x:c>
      <x:c r="B227" s="54" t="str">
        <x:v>As</x:v>
      </x:c>
      <x:c r="C227" s="45" t="str">
        <x:v>9.5</x:v>
      </x:c>
      <x:c r="D227" s="45" t="n">
        <x:v>9.5</x:v>
      </x:c>
      <x:c r="E227" s="54" t="str">
        <x:v>mg/kg</x:v>
      </x:c>
      <x:c r="F227" s="45" t="n">
        <x:v>1</x:v>
      </x:c>
      <x:c r="G227" s="45" t="str">
        <x:v>模拟检测法-As</x:v>
      </x:c>
      <x:c r="H227" s="63" t="n">
        <x:v>46299</x:v>
      </x:c>
      <x:c r="I227" s="54" t="str">
        <x:v>SIM-LAB-02</x:v>
      </x:c>
      <x:c r="J227" s="45" t="str">
        <x:v>人工模拟结果，无对应检测报告</x:v>
      </x:c>
    </x:row>
    <x:row r="228">
      <x:c r="A228" s="54" t="str">
        <x:v>SIM-S038</x:v>
      </x:c>
      <x:c r="B228" s="54" t="str">
        <x:v>Au</x:v>
      </x:c>
      <x:c r="C228" s="45" t="str">
        <x:v>0.063</x:v>
      </x:c>
      <x:c r="D228" s="45" t="n">
        <x:v>0.063</x:v>
      </x:c>
      <x:c r="E228" s="54" t="str">
        <x:v>mg/kg</x:v>
      </x:c>
      <x:c r="F228" s="45" t="n">
        <x:v>0.005</x:v>
      </x:c>
      <x:c r="G228" s="45" t="str">
        <x:v>模拟检测法-Au</x:v>
      </x:c>
      <x:c r="H228" s="63" t="n">
        <x:v>46299</x:v>
      </x:c>
      <x:c r="I228" s="54" t="str">
        <x:v>SIM-LAB-02</x:v>
      </x:c>
      <x:c r="J228" s="45" t="str">
        <x:v>人工模拟结果，无对应检测报告</x:v>
      </x:c>
    </x:row>
    <x:row r="229">
      <x:c r="A229" s="54" t="str">
        <x:v>SIM-S038</x:v>
      </x:c>
      <x:c r="B229" s="54" t="str">
        <x:v>Ag</x:v>
      </x:c>
      <x:c r="C229" s="45" t="str">
        <x:v>1.48</x:v>
      </x:c>
      <x:c r="D229" s="45" t="n">
        <x:v>1.48</x:v>
      </x:c>
      <x:c r="E229" s="54" t="str">
        <x:v>mg/kg</x:v>
      </x:c>
      <x:c r="F229" s="45" t="n">
        <x:v>0.1</x:v>
      </x:c>
      <x:c r="G229" s="45" t="str">
        <x:v>模拟检测法-Ag</x:v>
      </x:c>
      <x:c r="H229" s="63" t="n">
        <x:v>46299</x:v>
      </x:c>
      <x:c r="I229" s="54" t="str">
        <x:v>SIM-LAB-02</x:v>
      </x:c>
      <x:c r="J229" s="45" t="str">
        <x:v>人工模拟结果，无对应检测报告</x:v>
      </x:c>
    </x:row>
    <x:row r="230">
      <x:c r="A230" s="54" t="str">
        <x:v>SIM-S038</x:v>
      </x:c>
      <x:c r="B230" s="54" t="str">
        <x:v>Cu</x:v>
      </x:c>
      <x:c r="C230" s="45" t="str">
        <x:v>0.0177</x:v>
      </x:c>
      <x:c r="D230" s="45" t="n">
        <x:v>0.0177</x:v>
      </x:c>
      <x:c r="E230" s="54" t="str">
        <x:v>%</x:v>
      </x:c>
      <x:c r="F230" s="45" t="n">
        <x:v>0.001</x:v>
      </x:c>
      <x:c r="G230" s="45" t="str">
        <x:v>模拟检测法-Cu</x:v>
      </x:c>
      <x:c r="H230" s="63" t="n">
        <x:v>46299</x:v>
      </x:c>
      <x:c r="I230" s="54" t="str">
        <x:v>SIM-LAB-02</x:v>
      </x:c>
      <x:c r="J230" s="45" t="str">
        <x:v>人工模拟结果，无对应检测报告</x:v>
      </x:c>
    </x:row>
    <x:row r="231">
      <x:c r="A231" s="54" t="str">
        <x:v>SIM-S038</x:v>
      </x:c>
      <x:c r="B231" s="54" t="str">
        <x:v>Pb</x:v>
      </x:c>
      <x:c r="C231" s="45" t="str">
        <x:v>0.0505</x:v>
      </x:c>
      <x:c r="D231" s="45" t="n">
        <x:v>0.0505</x:v>
      </x:c>
      <x:c r="E231" s="54" t="str">
        <x:v>%</x:v>
      </x:c>
      <x:c r="F231" s="45" t="n">
        <x:v>0.001</x:v>
      </x:c>
      <x:c r="G231" s="45" t="str">
        <x:v>模拟检测法-Pb</x:v>
      </x:c>
      <x:c r="H231" s="63" t="n">
        <x:v>46299</x:v>
      </x:c>
      <x:c r="I231" s="54" t="str">
        <x:v>SIM-LAB-02</x:v>
      </x:c>
      <x:c r="J231" s="45" t="str">
        <x:v>人工模拟结果，无对应检测报告</x:v>
      </x:c>
    </x:row>
    <x:row r="232">
      <x:c r="A232" s="54" t="str">
        <x:v>SIM-S038</x:v>
      </x:c>
      <x:c r="B232" s="54" t="str">
        <x:v>Zn</x:v>
      </x:c>
      <x:c r="C232" s="45" t="str">
        <x:v>0.0941</x:v>
      </x:c>
      <x:c r="D232" s="45" t="n">
        <x:v>0.0941</x:v>
      </x:c>
      <x:c r="E232" s="54" t="str">
        <x:v>%</x:v>
      </x:c>
      <x:c r="F232" s="45" t="n">
        <x:v>0.001</x:v>
      </x:c>
      <x:c r="G232" s="45" t="str">
        <x:v>模拟检测法-Zn</x:v>
      </x:c>
      <x:c r="H232" s="63" t="n">
        <x:v>46299</x:v>
      </x:c>
      <x:c r="I232" s="54" t="str">
        <x:v>SIM-LAB-02</x:v>
      </x:c>
      <x:c r="J232" s="45" t="str">
        <x:v>人工模拟结果，无对应检测报告</x:v>
      </x:c>
    </x:row>
    <x:row r="233">
      <x:c r="A233" s="54" t="str">
        <x:v>SIM-S038</x:v>
      </x:c>
      <x:c r="B233" s="54" t="str">
        <x:v>As</x:v>
      </x:c>
      <x:c r="C233" s="45" t="str">
        <x:v>8.8</x:v>
      </x:c>
      <x:c r="D233" s="45" t="n">
        <x:v>8.8</x:v>
      </x:c>
      <x:c r="E233" s="54" t="str">
        <x:v>mg/kg</x:v>
      </x:c>
      <x:c r="F233" s="45" t="n">
        <x:v>1</x:v>
      </x:c>
      <x:c r="G233" s="45" t="str">
        <x:v>模拟检测法-As</x:v>
      </x:c>
      <x:c r="H233" s="63" t="n">
        <x:v>46299</x:v>
      </x:c>
      <x:c r="I233" s="54" t="str">
        <x:v>SIM-LAB-02</x:v>
      </x:c>
      <x:c r="J233" s="45" t="str">
        <x:v>人工模拟结果，无对应检测报告</x:v>
      </x:c>
    </x:row>
    <x:row r="234">
      <x:c r="A234" s="54" t="str">
        <x:v>SIM-S039</x:v>
      </x:c>
      <x:c r="B234" s="54" t="str">
        <x:v>Au</x:v>
      </x:c>
      <x:c r="C234" s="45" t="str">
        <x:v>0.062</x:v>
      </x:c>
      <x:c r="D234" s="45" t="n">
        <x:v>0.062</x:v>
      </x:c>
      <x:c r="E234" s="54" t="str">
        <x:v>mg/kg</x:v>
      </x:c>
      <x:c r="F234" s="45" t="n">
        <x:v>0.005</x:v>
      </x:c>
      <x:c r="G234" s="45" t="str">
        <x:v>模拟检测法-Au</x:v>
      </x:c>
      <x:c r="H234" s="63" t="n">
        <x:v>46299</x:v>
      </x:c>
      <x:c r="I234" s="54" t="str">
        <x:v>SIM-LAB-02</x:v>
      </x:c>
      <x:c r="J234" s="45" t="str">
        <x:v>人工模拟结果，无对应检测报告</x:v>
      </x:c>
    </x:row>
    <x:row r="235">
      <x:c r="A235" s="54" t="str">
        <x:v>SIM-S039</x:v>
      </x:c>
      <x:c r="B235" s="54" t="str">
        <x:v>Ag</x:v>
      </x:c>
      <x:c r="C235" s="45" t="str">
        <x:v>1.4</x:v>
      </x:c>
      <x:c r="D235" s="45" t="n">
        <x:v>1.4</x:v>
      </x:c>
      <x:c r="E235" s="54" t="str">
        <x:v>mg/kg</x:v>
      </x:c>
      <x:c r="F235" s="45" t="n">
        <x:v>0.1</x:v>
      </x:c>
      <x:c r="G235" s="45" t="str">
        <x:v>模拟检测法-Ag</x:v>
      </x:c>
      <x:c r="H235" s="63" t="n">
        <x:v>46299</x:v>
      </x:c>
      <x:c r="I235" s="54" t="str">
        <x:v>SIM-LAB-02</x:v>
      </x:c>
      <x:c r="J235" s="45" t="str">
        <x:v>人工模拟结果，无对应检测报告</x:v>
      </x:c>
    </x:row>
    <x:row r="236">
      <x:c r="A236" s="54" t="str">
        <x:v>SIM-S039</x:v>
      </x:c>
      <x:c r="B236" s="54" t="str">
        <x:v>Cu</x:v>
      </x:c>
      <x:c r="C236" s="45" t="str">
        <x:v>0.0144</x:v>
      </x:c>
      <x:c r="D236" s="45" t="n">
        <x:v>0.0144</x:v>
      </x:c>
      <x:c r="E236" s="54" t="str">
        <x:v>%</x:v>
      </x:c>
      <x:c r="F236" s="45" t="n">
        <x:v>0.001</x:v>
      </x:c>
      <x:c r="G236" s="45" t="str">
        <x:v>模拟检测法-Cu</x:v>
      </x:c>
      <x:c r="H236" s="63" t="n">
        <x:v>46299</x:v>
      </x:c>
      <x:c r="I236" s="54" t="str">
        <x:v>SIM-LAB-02</x:v>
      </x:c>
      <x:c r="J236" s="45" t="str">
        <x:v>人工模拟结果，无对应检测报告</x:v>
      </x:c>
    </x:row>
    <x:row r="237">
      <x:c r="A237" s="54" t="str">
        <x:v>SIM-S039</x:v>
      </x:c>
      <x:c r="B237" s="54" t="str">
        <x:v>Pb</x:v>
      </x:c>
      <x:c r="C237" s="45" t="str">
        <x:v>0.0386</x:v>
      </x:c>
      <x:c r="D237" s="45" t="n">
        <x:v>0.0386</x:v>
      </x:c>
      <x:c r="E237" s="54" t="str">
        <x:v>%</x:v>
      </x:c>
      <x:c r="F237" s="45" t="n">
        <x:v>0.001</x:v>
      </x:c>
      <x:c r="G237" s="45" t="str">
        <x:v>模拟检测法-Pb</x:v>
      </x:c>
      <x:c r="H237" s="63" t="n">
        <x:v>46299</x:v>
      </x:c>
      <x:c r="I237" s="54" t="str">
        <x:v>SIM-LAB-02</x:v>
      </x:c>
      <x:c r="J237" s="45" t="str">
        <x:v>人工模拟结果，无对应检测报告</x:v>
      </x:c>
    </x:row>
    <x:row r="238">
      <x:c r="A238" s="54" t="str">
        <x:v>SIM-S039</x:v>
      </x:c>
      <x:c r="B238" s="54" t="str">
        <x:v>Zn</x:v>
      </x:c>
      <x:c r="C238" s="45" t="str">
        <x:v>0.0637</x:v>
      </x:c>
      <x:c r="D238" s="45" t="n">
        <x:v>0.0637</x:v>
      </x:c>
      <x:c r="E238" s="54" t="str">
        <x:v>%</x:v>
      </x:c>
      <x:c r="F238" s="45" t="n">
        <x:v>0.001</x:v>
      </x:c>
      <x:c r="G238" s="45" t="str">
        <x:v>模拟检测法-Zn</x:v>
      </x:c>
      <x:c r="H238" s="63" t="n">
        <x:v>46299</x:v>
      </x:c>
      <x:c r="I238" s="54" t="str">
        <x:v>SIM-LAB-02</x:v>
      </x:c>
      <x:c r="J238" s="45" t="str">
        <x:v>人工模拟结果，无对应检测报告</x:v>
      </x:c>
    </x:row>
    <x:row r="239">
      <x:c r="A239" s="54" t="str">
        <x:v>SIM-S039</x:v>
      </x:c>
      <x:c r="B239" s="54" t="str">
        <x:v>As</x:v>
      </x:c>
      <x:c r="C239" s="45" t="str">
        <x:v>8.8</x:v>
      </x:c>
      <x:c r="D239" s="45" t="n">
        <x:v>8.8</x:v>
      </x:c>
      <x:c r="E239" s="54" t="str">
        <x:v>mg/kg</x:v>
      </x:c>
      <x:c r="F239" s="45" t="n">
        <x:v>1</x:v>
      </x:c>
      <x:c r="G239" s="45" t="str">
        <x:v>模拟检测法-As</x:v>
      </x:c>
      <x:c r="H239" s="63" t="n">
        <x:v>46299</x:v>
      </x:c>
      <x:c r="I239" s="54" t="str">
        <x:v>SIM-LAB-02</x:v>
      </x:c>
      <x:c r="J239" s="45" t="str">
        <x:v>人工模拟结果，无对应检测报告</x:v>
      </x:c>
    </x:row>
    <x:row r="240">
      <x:c r="A240" s="54" t="str">
        <x:v>SIM-S040</x:v>
      </x:c>
      <x:c r="B240" s="54" t="str">
        <x:v>Au</x:v>
      </x:c>
      <x:c r="C240" s="45" t="str">
        <x:v>0.066</x:v>
      </x:c>
      <x:c r="D240" s="45" t="n">
        <x:v>0.066</x:v>
      </x:c>
      <x:c r="E240" s="54" t="str">
        <x:v>mg/kg</x:v>
      </x:c>
      <x:c r="F240" s="45" t="n">
        <x:v>0.005</x:v>
      </x:c>
      <x:c r="G240" s="45" t="str">
        <x:v>模拟检测法-Au</x:v>
      </x:c>
      <x:c r="H240" s="63" t="n">
        <x:v>46299</x:v>
      </x:c>
      <x:c r="I240" s="54" t="str">
        <x:v>SIM-LAB-02</x:v>
      </x:c>
      <x:c r="J240" s="45" t="str">
        <x:v>人工模拟结果，无对应检测报告</x:v>
      </x:c>
    </x:row>
    <x:row r="241">
      <x:c r="A241" s="54" t="str">
        <x:v>SIM-S040</x:v>
      </x:c>
      <x:c r="B241" s="54" t="str">
        <x:v>Ag</x:v>
      </x:c>
      <x:c r="C241" s="45" t="str">
        <x:v>1.06</x:v>
      </x:c>
      <x:c r="D241" s="45" t="n">
        <x:v>1.06</x:v>
      </x:c>
      <x:c r="E241" s="54" t="str">
        <x:v>mg/kg</x:v>
      </x:c>
      <x:c r="F241" s="45" t="n">
        <x:v>0.1</x:v>
      </x:c>
      <x:c r="G241" s="45" t="str">
        <x:v>模拟检测法-Ag</x:v>
      </x:c>
      <x:c r="H241" s="63" t="n">
        <x:v>46299</x:v>
      </x:c>
      <x:c r="I241" s="54" t="str">
        <x:v>SIM-LAB-02</x:v>
      </x:c>
      <x:c r="J241" s="45" t="str">
        <x:v>人工模拟结果，无对应检测报告</x:v>
      </x:c>
    </x:row>
    <x:row r="242">
      <x:c r="A242" s="54" t="str">
        <x:v>SIM-S040</x:v>
      </x:c>
      <x:c r="B242" s="54" t="str">
        <x:v>Cu</x:v>
      </x:c>
      <x:c r="C242" s="45" t="str">
        <x:v>0.0121</x:v>
      </x:c>
      <x:c r="D242" s="45" t="n">
        <x:v>0.0121</x:v>
      </x:c>
      <x:c r="E242" s="54" t="str">
        <x:v>%</x:v>
      </x:c>
      <x:c r="F242" s="45" t="n">
        <x:v>0.001</x:v>
      </x:c>
      <x:c r="G242" s="45" t="str">
        <x:v>模拟检测法-Cu</x:v>
      </x:c>
      <x:c r="H242" s="63" t="n">
        <x:v>46299</x:v>
      </x:c>
      <x:c r="I242" s="54" t="str">
        <x:v>SIM-LAB-02</x:v>
      </x:c>
      <x:c r="J242" s="45" t="str">
        <x:v>人工模拟结果，无对应检测报告</x:v>
      </x:c>
    </x:row>
    <x:row r="243">
      <x:c r="A243" s="54" t="str">
        <x:v>SIM-S040</x:v>
      </x:c>
      <x:c r="B243" s="54" t="str">
        <x:v>Pb</x:v>
      </x:c>
      <x:c r="C243" s="45" t="str">
        <x:v>0.0319</x:v>
      </x:c>
      <x:c r="D243" s="45" t="n">
        <x:v>0.0319</x:v>
      </x:c>
      <x:c r="E243" s="54" t="str">
        <x:v>%</x:v>
      </x:c>
      <x:c r="F243" s="45" t="n">
        <x:v>0.001</x:v>
      </x:c>
      <x:c r="G243" s="45" t="str">
        <x:v>模拟检测法-Pb</x:v>
      </x:c>
      <x:c r="H243" s="63" t="n">
        <x:v>46299</x:v>
      </x:c>
      <x:c r="I243" s="54" t="str">
        <x:v>SIM-LAB-02</x:v>
      </x:c>
      <x:c r="J243" s="45" t="str">
        <x:v>人工模拟结果，无对应检测报告</x:v>
      </x:c>
    </x:row>
    <x:row r="244">
      <x:c r="A244" s="54" t="str">
        <x:v>SIM-S040</x:v>
      </x:c>
      <x:c r="B244" s="54" t="str">
        <x:v>Zn</x:v>
      </x:c>
      <x:c r="C244" s="45" t="str">
        <x:v>0.049</x:v>
      </x:c>
      <x:c r="D244" s="45" t="n">
        <x:v>0.049</x:v>
      </x:c>
      <x:c r="E244" s="54" t="str">
        <x:v>%</x:v>
      </x:c>
      <x:c r="F244" s="45" t="n">
        <x:v>0.001</x:v>
      </x:c>
      <x:c r="G244" s="45" t="str">
        <x:v>模拟检测法-Zn</x:v>
      </x:c>
      <x:c r="H244" s="63" t="n">
        <x:v>46299</x:v>
      </x:c>
      <x:c r="I244" s="54" t="str">
        <x:v>SIM-LAB-02</x:v>
      </x:c>
      <x:c r="J244" s="45" t="str">
        <x:v>人工模拟结果，无对应检测报告</x:v>
      </x:c>
    </x:row>
    <x:row r="245">
      <x:c r="A245" s="54" t="str">
        <x:v>SIM-S040</x:v>
      </x:c>
      <x:c r="B245" s="54" t="str">
        <x:v>As</x:v>
      </x:c>
      <x:c r="C245" s="45" t="str">
        <x:v>9.2</x:v>
      </x:c>
      <x:c r="D245" s="45" t="n">
        <x:v>9.2</x:v>
      </x:c>
      <x:c r="E245" s="54" t="str">
        <x:v>mg/kg</x:v>
      </x:c>
      <x:c r="F245" s="45" t="n">
        <x:v>1</x:v>
      </x:c>
      <x:c r="G245" s="45" t="str">
        <x:v>模拟检测法-As</x:v>
      </x:c>
      <x:c r="H245" s="63" t="n">
        <x:v>46299</x:v>
      </x:c>
      <x:c r="I245" s="54" t="str">
        <x:v>SIM-LAB-02</x:v>
      </x:c>
      <x:c r="J245" s="45" t="str">
        <x:v>人工模拟结果，无对应检测报告</x:v>
      </x:c>
    </x:row>
    <x:row r="246">
      <x:c r="A246" s="54" t="str">
        <x:v>SIM-S041</x:v>
      </x:c>
      <x:c r="B246" s="54" t="str">
        <x:v>Au</x:v>
      </x:c>
      <x:c r="C246" s="45" t="str">
        <x:v>0.059</x:v>
      </x:c>
      <x:c r="D246" s="45" t="n">
        <x:v>0.059</x:v>
      </x:c>
      <x:c r="E246" s="54" t="str">
        <x:v>mg/kg</x:v>
      </x:c>
      <x:c r="F246" s="45" t="n">
        <x:v>0.005</x:v>
      </x:c>
      <x:c r="G246" s="45" t="str">
        <x:v>模拟检测法-Au</x:v>
      </x:c>
      <x:c r="H246" s="63" t="n">
        <x:v>46299</x:v>
      </x:c>
      <x:c r="I246" s="54" t="str">
        <x:v>SIM-LAB-02</x:v>
      </x:c>
      <x:c r="J246" s="45" t="str">
        <x:v>人工模拟结果，无对应检测报告</x:v>
      </x:c>
    </x:row>
    <x:row r="247">
      <x:c r="A247" s="54" t="str">
        <x:v>SIM-S041</x:v>
      </x:c>
      <x:c r="B247" s="54" t="str">
        <x:v>Ag</x:v>
      </x:c>
      <x:c r="C247" s="45" t="str">
        <x:v>0.65</x:v>
      </x:c>
      <x:c r="D247" s="45" t="n">
        <x:v>0.65</x:v>
      </x:c>
      <x:c r="E247" s="54" t="str">
        <x:v>mg/kg</x:v>
      </x:c>
      <x:c r="F247" s="45" t="n">
        <x:v>0.1</x:v>
      </x:c>
      <x:c r="G247" s="45" t="str">
        <x:v>模拟检测法-Ag</x:v>
      </x:c>
      <x:c r="H247" s="63" t="n">
        <x:v>46299</x:v>
      </x:c>
      <x:c r="I247" s="54" t="str">
        <x:v>SIM-LAB-02</x:v>
      </x:c>
      <x:c r="J247" s="45" t="str">
        <x:v>人工模拟结果，无对应检测报告</x:v>
      </x:c>
    </x:row>
    <x:row r="248">
      <x:c r="A248" s="54" t="str">
        <x:v>SIM-S041</x:v>
      </x:c>
      <x:c r="B248" s="54" t="str">
        <x:v>Cu</x:v>
      </x:c>
      <x:c r="C248" s="45" t="str">
        <x:v>0.0104</x:v>
      </x:c>
      <x:c r="D248" s="45" t="n">
        <x:v>0.0104</x:v>
      </x:c>
      <x:c r="E248" s="54" t="str">
        <x:v>%</x:v>
      </x:c>
      <x:c r="F248" s="45" t="n">
        <x:v>0.001</x:v>
      </x:c>
      <x:c r="G248" s="45" t="str">
        <x:v>模拟检测法-Cu</x:v>
      </x:c>
      <x:c r="H248" s="63" t="n">
        <x:v>46299</x:v>
      </x:c>
      <x:c r="I248" s="54" t="str">
        <x:v>SIM-LAB-02</x:v>
      </x:c>
      <x:c r="J248" s="45" t="str">
        <x:v>人工模拟结果，无对应检测报告</x:v>
      </x:c>
    </x:row>
    <x:row r="249">
      <x:c r="A249" s="54" t="str">
        <x:v>SIM-S041</x:v>
      </x:c>
      <x:c r="B249" s="54" t="str">
        <x:v>Pb</x:v>
      </x:c>
      <x:c r="C249" s="45" t="str">
        <x:v>0.0279</x:v>
      </x:c>
      <x:c r="D249" s="45" t="n">
        <x:v>0.0279</x:v>
      </x:c>
      <x:c r="E249" s="54" t="str">
        <x:v>%</x:v>
      </x:c>
      <x:c r="F249" s="45" t="n">
        <x:v>0.001</x:v>
      </x:c>
      <x:c r="G249" s="45" t="str">
        <x:v>模拟检测法-Pb</x:v>
      </x:c>
      <x:c r="H249" s="63" t="n">
        <x:v>46299</x:v>
      </x:c>
      <x:c r="I249" s="54" t="str">
        <x:v>SIM-LAB-02</x:v>
      </x:c>
      <x:c r="J249" s="45" t="str">
        <x:v>人工模拟结果，无对应检测报告</x:v>
      </x:c>
    </x:row>
    <x:row r="250">
      <x:c r="A250" s="54" t="str">
        <x:v>SIM-S041</x:v>
      </x:c>
      <x:c r="B250" s="54" t="str">
        <x:v>Zn</x:v>
      </x:c>
      <x:c r="C250" s="45" t="str">
        <x:v>0.0465</x:v>
      </x:c>
      <x:c r="D250" s="45" t="n">
        <x:v>0.0465</x:v>
      </x:c>
      <x:c r="E250" s="54" t="str">
        <x:v>%</x:v>
      </x:c>
      <x:c r="F250" s="45" t="n">
        <x:v>0.001</x:v>
      </x:c>
      <x:c r="G250" s="45" t="str">
        <x:v>模拟检测法-Zn</x:v>
      </x:c>
      <x:c r="H250" s="63" t="n">
        <x:v>46299</x:v>
      </x:c>
      <x:c r="I250" s="54" t="str">
        <x:v>SIM-LAB-02</x:v>
      </x:c>
      <x:c r="J250" s="45" t="str">
        <x:v>人工模拟结果，无对应检测报告</x:v>
      </x:c>
    </x:row>
    <x:row r="251">
      <x:c r="A251" s="54" t="str">
        <x:v>SIM-S041</x:v>
      </x:c>
      <x:c r="B251" s="54" t="str">
        <x:v>As</x:v>
      </x:c>
      <x:c r="C251" s="45" t="str">
        <x:v>9.6</x:v>
      </x:c>
      <x:c r="D251" s="45" t="n">
        <x:v>9.6</x:v>
      </x:c>
      <x:c r="E251" s="54" t="str">
        <x:v>mg/kg</x:v>
      </x:c>
      <x:c r="F251" s="45" t="n">
        <x:v>1</x:v>
      </x:c>
      <x:c r="G251" s="45" t="str">
        <x:v>模拟检测法-As</x:v>
      </x:c>
      <x:c r="H251" s="63" t="n">
        <x:v>46299</x:v>
      </x:c>
      <x:c r="I251" s="54" t="str">
        <x:v>SIM-LAB-02</x:v>
      </x:c>
      <x:c r="J251" s="45" t="str">
        <x:v>人工模拟结果，无对应检测报告</x:v>
      </x:c>
    </x:row>
    <x:row r="252">
      <x:c r="A252" s="54" t="str">
        <x:v>SIM-S042</x:v>
      </x:c>
      <x:c r="B252" s="54" t="str">
        <x:v>Au</x:v>
      </x:c>
      <x:c r="C252" s="45" t="str">
        <x:v>0.041</x:v>
      </x:c>
      <x:c r="D252" s="45" t="n">
        <x:v>0.041</x:v>
      </x:c>
      <x:c r="E252" s="54" t="str">
        <x:v>mg/kg</x:v>
      </x:c>
      <x:c r="F252" s="45" t="n">
        <x:v>0.005</x:v>
      </x:c>
      <x:c r="G252" s="45" t="str">
        <x:v>模拟检测法-Au</x:v>
      </x:c>
      <x:c r="H252" s="63" t="n">
        <x:v>46299</x:v>
      </x:c>
      <x:c r="I252" s="54" t="str">
        <x:v>SIM-LAB-02</x:v>
      </x:c>
      <x:c r="J252" s="45" t="str">
        <x:v>人工模拟结果，无对应检测报告</x:v>
      </x:c>
    </x:row>
    <x:row r="253">
      <x:c r="A253" s="54" t="str">
        <x:v>SIM-S042</x:v>
      </x:c>
      <x:c r="B253" s="54" t="str">
        <x:v>Ag</x:v>
      </x:c>
      <x:c r="C253" s="45" t="str">
        <x:v>0.51</x:v>
      </x:c>
      <x:c r="D253" s="45" t="n">
        <x:v>0.51</x:v>
      </x:c>
      <x:c r="E253" s="54" t="str">
        <x:v>mg/kg</x:v>
      </x:c>
      <x:c r="F253" s="45" t="n">
        <x:v>0.1</x:v>
      </x:c>
      <x:c r="G253" s="45" t="str">
        <x:v>模拟检测法-Ag</x:v>
      </x:c>
      <x:c r="H253" s="63" t="n">
        <x:v>46299</x:v>
      </x:c>
      <x:c r="I253" s="54" t="str">
        <x:v>SIM-LAB-02</x:v>
      </x:c>
      <x:c r="J253" s="45" t="str">
        <x:v>人工模拟结果，无对应检测报告</x:v>
      </x:c>
    </x:row>
    <x:row r="254">
      <x:c r="A254" s="54" t="str">
        <x:v>SIM-S042</x:v>
      </x:c>
      <x:c r="B254" s="54" t="str">
        <x:v>Cu</x:v>
      </x:c>
      <x:c r="C254" s="45" t="str">
        <x:v>0.0092</x:v>
      </x:c>
      <x:c r="D254" s="45" t="n">
        <x:v>0.0092</x:v>
      </x:c>
      <x:c r="E254" s="54" t="str">
        <x:v>%</x:v>
      </x:c>
      <x:c r="F254" s="45" t="n">
        <x:v>0.001</x:v>
      </x:c>
      <x:c r="G254" s="45" t="str">
        <x:v>模拟检测法-Cu</x:v>
      </x:c>
      <x:c r="H254" s="63" t="n">
        <x:v>46299</x:v>
      </x:c>
      <x:c r="I254" s="54" t="str">
        <x:v>SIM-LAB-02</x:v>
      </x:c>
      <x:c r="J254" s="45" t="str">
        <x:v>人工模拟结果，无对应检测报告</x:v>
      </x:c>
    </x:row>
    <x:row r="255">
      <x:c r="A255" s="54" t="str">
        <x:v>SIM-S042</x:v>
      </x:c>
      <x:c r="B255" s="54" t="str">
        <x:v>Pb</x:v>
      </x:c>
      <x:c r="C255" s="45" t="str">
        <x:v>0.0251</x:v>
      </x:c>
      <x:c r="D255" s="45" t="n">
        <x:v>0.0251</x:v>
      </x:c>
      <x:c r="E255" s="54" t="str">
        <x:v>%</x:v>
      </x:c>
      <x:c r="F255" s="45" t="n">
        <x:v>0.001</x:v>
      </x:c>
      <x:c r="G255" s="45" t="str">
        <x:v>模拟检测法-Pb</x:v>
      </x:c>
      <x:c r="H255" s="63" t="n">
        <x:v>46299</x:v>
      </x:c>
      <x:c r="I255" s="54" t="str">
        <x:v>SIM-LAB-02</x:v>
      </x:c>
      <x:c r="J255" s="45" t="str">
        <x:v>人工模拟结果，无对应检测报告</x:v>
      </x:c>
    </x:row>
    <x:row r="256">
      <x:c r="A256" s="54" t="str">
        <x:v>SIM-S042</x:v>
      </x:c>
      <x:c r="B256" s="54" t="str">
        <x:v>Zn</x:v>
      </x:c>
      <x:c r="C256" s="45" t="str">
        <x:v>0.0528</x:v>
      </x:c>
      <x:c r="D256" s="45" t="n">
        <x:v>0.0528</x:v>
      </x:c>
      <x:c r="E256" s="54" t="str">
        <x:v>%</x:v>
      </x:c>
      <x:c r="F256" s="45" t="n">
        <x:v>0.001</x:v>
      </x:c>
      <x:c r="G256" s="45" t="str">
        <x:v>模拟检测法-Zn</x:v>
      </x:c>
      <x:c r="H256" s="63" t="n">
        <x:v>46299</x:v>
      </x:c>
      <x:c r="I256" s="54" t="str">
        <x:v>SIM-LAB-02</x:v>
      </x:c>
      <x:c r="J256" s="45" t="str">
        <x:v>人工模拟结果，无对应检测报告</x:v>
      </x:c>
    </x:row>
    <x:row r="257">
      <x:c r="A257" s="54" t="str">
        <x:v>SIM-S042</x:v>
      </x:c>
      <x:c r="B257" s="54" t="str">
        <x:v>As</x:v>
      </x:c>
      <x:c r="C257" s="45" t="str">
        <x:v>9.9</x:v>
      </x:c>
      <x:c r="D257" s="45" t="n">
        <x:v>9.9</x:v>
      </x:c>
      <x:c r="E257" s="54" t="str">
        <x:v>mg/kg</x:v>
      </x:c>
      <x:c r="F257" s="45" t="n">
        <x:v>1</x:v>
      </x:c>
      <x:c r="G257" s="45" t="str">
        <x:v>模拟检测法-As</x:v>
      </x:c>
      <x:c r="H257" s="63" t="n">
        <x:v>46299</x:v>
      </x:c>
      <x:c r="I257" s="54" t="str">
        <x:v>SIM-LAB-02</x:v>
      </x:c>
      <x:c r="J257" s="45" t="str">
        <x:v>人工模拟结果，无对应检测报告</x:v>
      </x:c>
    </x:row>
    <x:row r="258">
      <x:c r="A258" s="54" t="str">
        <x:v>SIM-S043</x:v>
      </x:c>
      <x:c r="B258" s="54" t="str">
        <x:v>Au</x:v>
      </x:c>
      <x:c r="C258" s="45" t="str">
        <x:v>0.027</x:v>
      </x:c>
      <x:c r="D258" s="45" t="n">
        <x:v>0.027</x:v>
      </x:c>
      <x:c r="E258" s="54" t="str">
        <x:v>mg/kg</x:v>
      </x:c>
      <x:c r="F258" s="45" t="n">
        <x:v>0.005</x:v>
      </x:c>
      <x:c r="G258" s="45" t="str">
        <x:v>模拟检测法-Au</x:v>
      </x:c>
      <x:c r="H258" s="63" t="n">
        <x:v>46299</x:v>
      </x:c>
      <x:c r="I258" s="54" t="str">
        <x:v>SIM-LAB-02</x:v>
      </x:c>
      <x:c r="J258" s="45" t="str">
        <x:v>人工模拟结果，无对应检测报告</x:v>
      </x:c>
    </x:row>
    <x:row r="259">
      <x:c r="A259" s="54" t="str">
        <x:v>SIM-S043</x:v>
      </x:c>
      <x:c r="B259" s="54" t="str">
        <x:v>Ag</x:v>
      </x:c>
      <x:c r="C259" s="45" t="str">
        <x:v>0.74</x:v>
      </x:c>
      <x:c r="D259" s="45" t="n">
        <x:v>0.74</x:v>
      </x:c>
      <x:c r="E259" s="54" t="str">
        <x:v>mg/kg</x:v>
      </x:c>
      <x:c r="F259" s="45" t="n">
        <x:v>0.1</x:v>
      </x:c>
      <x:c r="G259" s="45" t="str">
        <x:v>模拟检测法-Ag</x:v>
      </x:c>
      <x:c r="H259" s="63" t="n">
        <x:v>46299</x:v>
      </x:c>
      <x:c r="I259" s="54" t="str">
        <x:v>SIM-LAB-02</x:v>
      </x:c>
      <x:c r="J259" s="45" t="str">
        <x:v>人工模拟结果，无对应检测报告</x:v>
      </x:c>
    </x:row>
    <x:row r="260">
      <x:c r="A260" s="54" t="str">
        <x:v>SIM-S043</x:v>
      </x:c>
      <x:c r="B260" s="54" t="str">
        <x:v>Cu</x:v>
      </x:c>
      <x:c r="C260" s="45" t="str">
        <x:v>0.0084</x:v>
      </x:c>
      <x:c r="D260" s="45" t="n">
        <x:v>0.0084</x:v>
      </x:c>
      <x:c r="E260" s="54" t="str">
        <x:v>%</x:v>
      </x:c>
      <x:c r="F260" s="45" t="n">
        <x:v>0.001</x:v>
      </x:c>
      <x:c r="G260" s="45" t="str">
        <x:v>模拟检测法-Cu</x:v>
      </x:c>
      <x:c r="H260" s="63" t="n">
        <x:v>46299</x:v>
      </x:c>
      <x:c r="I260" s="54" t="str">
        <x:v>SIM-LAB-02</x:v>
      </x:c>
      <x:c r="J260" s="45" t="str">
        <x:v>人工模拟结果，无对应检测报告</x:v>
      </x:c>
    </x:row>
    <x:row r="261">
      <x:c r="A261" s="54" t="str">
        <x:v>SIM-S043</x:v>
      </x:c>
      <x:c r="B261" s="54" t="str">
        <x:v>Pb</x:v>
      </x:c>
      <x:c r="C261" s="45" t="str">
        <x:v>0.023</x:v>
      </x:c>
      <x:c r="D261" s="45" t="n">
        <x:v>0.023</x:v>
      </x:c>
      <x:c r="E261" s="54" t="str">
        <x:v>%</x:v>
      </x:c>
      <x:c r="F261" s="45" t="n">
        <x:v>0.001</x:v>
      </x:c>
      <x:c r="G261" s="45" t="str">
        <x:v>模拟检测法-Pb</x:v>
      </x:c>
      <x:c r="H261" s="63" t="n">
        <x:v>46299</x:v>
      </x:c>
      <x:c r="I261" s="54" t="str">
        <x:v>SIM-LAB-02</x:v>
      </x:c>
      <x:c r="J261" s="45" t="str">
        <x:v>人工模拟结果，无对应检测报告</x:v>
      </x:c>
    </x:row>
    <x:row r="262">
      <x:c r="A262" s="54" t="str">
        <x:v>SIM-S043</x:v>
      </x:c>
      <x:c r="B262" s="54" t="str">
        <x:v>Zn</x:v>
      </x:c>
      <x:c r="C262" s="45" t="str">
        <x:v>0.0637</x:v>
      </x:c>
      <x:c r="D262" s="45" t="n">
        <x:v>0.0637</x:v>
      </x:c>
      <x:c r="E262" s="54" t="str">
        <x:v>%</x:v>
      </x:c>
      <x:c r="F262" s="45" t="n">
        <x:v>0.001</x:v>
      </x:c>
      <x:c r="G262" s="45" t="str">
        <x:v>模拟检测法-Zn</x:v>
      </x:c>
      <x:c r="H262" s="63" t="n">
        <x:v>46299</x:v>
      </x:c>
      <x:c r="I262" s="54" t="str">
        <x:v>SIM-LAB-02</x:v>
      </x:c>
      <x:c r="J262" s="45" t="str">
        <x:v>人工模拟结果，无对应检测报告</x:v>
      </x:c>
    </x:row>
    <x:row r="263">
      <x:c r="A263" s="54" t="str">
        <x:v>SIM-S043</x:v>
      </x:c>
      <x:c r="B263" s="54" t="str">
        <x:v>As</x:v>
      </x:c>
      <x:c r="C263" s="45" t="str">
        <x:v>10.0</x:v>
      </x:c>
      <x:c r="D263" s="45" t="n">
        <x:v>10</x:v>
      </x:c>
      <x:c r="E263" s="54" t="str">
        <x:v>mg/kg</x:v>
      </x:c>
      <x:c r="F263" s="45" t="n">
        <x:v>1</x:v>
      </x:c>
      <x:c r="G263" s="45" t="str">
        <x:v>模拟检测法-As</x:v>
      </x:c>
      <x:c r="H263" s="63" t="n">
        <x:v>46299</x:v>
      </x:c>
      <x:c r="I263" s="54" t="str">
        <x:v>SIM-LAB-02</x:v>
      </x:c>
      <x:c r="J263" s="45" t="str">
        <x:v>人工模拟结果，无对应检测报告</x:v>
      </x:c>
    </x:row>
    <x:row r="264">
      <x:c r="A264" s="54" t="str">
        <x:v>SIM-S044</x:v>
      </x:c>
      <x:c r="B264" s="54" t="str">
        <x:v>Au</x:v>
      </x:c>
      <x:c r="C264" s="45" t="str">
        <x:v>0.028</x:v>
      </x:c>
      <x:c r="D264" s="45" t="n">
        <x:v>0.028</x:v>
      </x:c>
      <x:c r="E264" s="54" t="str">
        <x:v>mg/kg</x:v>
      </x:c>
      <x:c r="F264" s="45" t="n">
        <x:v>0.005</x:v>
      </x:c>
      <x:c r="G264" s="45" t="str">
        <x:v>模拟检测法-Au</x:v>
      </x:c>
      <x:c r="H264" s="63" t="n">
        <x:v>46299</x:v>
      </x:c>
      <x:c r="I264" s="54" t="str">
        <x:v>SIM-LAB-02</x:v>
      </x:c>
      <x:c r="J264" s="45" t="str">
        <x:v>人工模拟结果，无对应检测报告</x:v>
      </x:c>
    </x:row>
    <x:row r="265">
      <x:c r="A265" s="54" t="str">
        <x:v>SIM-S044</x:v>
      </x:c>
      <x:c r="B265" s="54" t="str">
        <x:v>Ag</x:v>
      </x:c>
      <x:c r="C265" s="45" t="str">
        <x:v>1.12</x:v>
      </x:c>
      <x:c r="D265" s="45" t="n">
        <x:v>1.12</x:v>
      </x:c>
      <x:c r="E265" s="54" t="str">
        <x:v>mg/kg</x:v>
      </x:c>
      <x:c r="F265" s="45" t="n">
        <x:v>0.1</x:v>
      </x:c>
      <x:c r="G265" s="45" t="str">
        <x:v>模拟检测法-Ag</x:v>
      </x:c>
      <x:c r="H265" s="63" t="n">
        <x:v>46299</x:v>
      </x:c>
      <x:c r="I265" s="54" t="str">
        <x:v>SIM-LAB-02</x:v>
      </x:c>
      <x:c r="J265" s="45" t="str">
        <x:v>人工模拟结果，无对应检测报告</x:v>
      </x:c>
    </x:row>
    <x:row r="266">
      <x:c r="A266" s="54" t="str">
        <x:v>SIM-S044</x:v>
      </x:c>
      <x:c r="B266" s="54" t="str">
        <x:v>Cu</x:v>
      </x:c>
      <x:c r="C266" s="45" t="str">
        <x:v>0.008</x:v>
      </x:c>
      <x:c r="D266" s="45" t="n">
        <x:v>0.008</x:v>
      </x:c>
      <x:c r="E266" s="54" t="str">
        <x:v>%</x:v>
      </x:c>
      <x:c r="F266" s="45" t="n">
        <x:v>0.001</x:v>
      </x:c>
      <x:c r="G266" s="45" t="str">
        <x:v>模拟检测法-Cu</x:v>
      </x:c>
      <x:c r="H266" s="63" t="n">
        <x:v>46299</x:v>
      </x:c>
      <x:c r="I266" s="54" t="str">
        <x:v>SIM-LAB-02</x:v>
      </x:c>
      <x:c r="J266" s="45" t="str">
        <x:v>人工模拟结果，无对应检测报告</x:v>
      </x:c>
    </x:row>
    <x:row r="267">
      <x:c r="A267" s="54" t="str">
        <x:v>SIM-S044</x:v>
      </x:c>
      <x:c r="B267" s="54" t="str">
        <x:v>Pb</x:v>
      </x:c>
      <x:c r="C267" s="45" t="str">
        <x:v>0.0213</x:v>
      </x:c>
      <x:c r="D267" s="45" t="n">
        <x:v>0.0213</x:v>
      </x:c>
      <x:c r="E267" s="54" t="str">
        <x:v>%</x:v>
      </x:c>
      <x:c r="F267" s="45" t="n">
        <x:v>0.001</x:v>
      </x:c>
      <x:c r="G267" s="45" t="str">
        <x:v>模拟检测法-Pb</x:v>
      </x:c>
      <x:c r="H267" s="63" t="n">
        <x:v>46299</x:v>
      </x:c>
      <x:c r="I267" s="54" t="str">
        <x:v>SIM-LAB-02</x:v>
      </x:c>
      <x:c r="J267" s="45" t="str">
        <x:v>人工模拟结果，无对应检测报告</x:v>
      </x:c>
    </x:row>
    <x:row r="268">
      <x:c r="A268" s="54" t="str">
        <x:v>SIM-S044</x:v>
      </x:c>
      <x:c r="B268" s="54" t="str">
        <x:v>Zn</x:v>
      </x:c>
      <x:c r="C268" s="45" t="str">
        <x:v>0.0745</x:v>
      </x:c>
      <x:c r="D268" s="45" t="n">
        <x:v>0.0745</x:v>
      </x:c>
      <x:c r="E268" s="54" t="str">
        <x:v>%</x:v>
      </x:c>
      <x:c r="F268" s="45" t="n">
        <x:v>0.001</x:v>
      </x:c>
      <x:c r="G268" s="45" t="str">
        <x:v>模拟检测法-Zn</x:v>
      </x:c>
      <x:c r="H268" s="63" t="n">
        <x:v>46299</x:v>
      </x:c>
      <x:c r="I268" s="54" t="str">
        <x:v>SIM-LAB-02</x:v>
      </x:c>
      <x:c r="J268" s="45" t="str">
        <x:v>人工模拟结果，无对应检测报告</x:v>
      </x:c>
    </x:row>
    <x:row r="269">
      <x:c r="A269" s="54" t="str">
        <x:v>SIM-S044</x:v>
      </x:c>
      <x:c r="B269" s="54" t="str">
        <x:v>As</x:v>
      </x:c>
      <x:c r="C269" s="45" t="str">
        <x:v>9.8</x:v>
      </x:c>
      <x:c r="D269" s="45" t="n">
        <x:v>9.8</x:v>
      </x:c>
      <x:c r="E269" s="54" t="str">
        <x:v>mg/kg</x:v>
      </x:c>
      <x:c r="F269" s="45" t="n">
        <x:v>1</x:v>
      </x:c>
      <x:c r="G269" s="45" t="str">
        <x:v>模拟检测法-As</x:v>
      </x:c>
      <x:c r="H269" s="63" t="n">
        <x:v>46299</x:v>
      </x:c>
      <x:c r="I269" s="54" t="str">
        <x:v>SIM-LAB-02</x:v>
      </x:c>
      <x:c r="J269" s="45" t="str">
        <x:v>人工模拟结果，无对应检测报告</x:v>
      </x:c>
    </x:row>
    <x:row r="270">
      <x:c r="A270" s="54" t="str">
        <x:v>SIM-S045</x:v>
      </x:c>
      <x:c r="B270" s="54" t="str">
        <x:v>Au</x:v>
      </x:c>
      <x:c r="C270" s="45" t="str">
        <x:v>0.043</x:v>
      </x:c>
      <x:c r="D270" s="45" t="n">
        <x:v>0.043</x:v>
      </x:c>
      <x:c r="E270" s="54" t="str">
        <x:v>mg/kg</x:v>
      </x:c>
      <x:c r="F270" s="45" t="n">
        <x:v>0.005</x:v>
      </x:c>
      <x:c r="G270" s="45" t="str">
        <x:v>模拟检测法-Au</x:v>
      </x:c>
      <x:c r="H270" s="63" t="n">
        <x:v>46299</x:v>
      </x:c>
      <x:c r="I270" s="54" t="str">
        <x:v>SIM-LAB-02</x:v>
      </x:c>
      <x:c r="J270" s="45" t="str">
        <x:v>人工模拟结果，无对应检测报告</x:v>
      </x:c>
    </x:row>
    <x:row r="271">
      <x:c r="A271" s="54" t="str">
        <x:v>SIM-S045</x:v>
      </x:c>
      <x:c r="B271" s="54" t="str">
        <x:v>Ag</x:v>
      </x:c>
      <x:c r="C271" s="45" t="str">
        <x:v>1.3</x:v>
      </x:c>
      <x:c r="D271" s="45" t="n">
        <x:v>1.3</x:v>
      </x:c>
      <x:c r="E271" s="54" t="str">
        <x:v>mg/kg</x:v>
      </x:c>
      <x:c r="F271" s="45" t="n">
        <x:v>0.1</x:v>
      </x:c>
      <x:c r="G271" s="45" t="str">
        <x:v>模拟检测法-Ag</x:v>
      </x:c>
      <x:c r="H271" s="63" t="n">
        <x:v>46299</x:v>
      </x:c>
      <x:c r="I271" s="54" t="str">
        <x:v>SIM-LAB-02</x:v>
      </x:c>
      <x:c r="J271" s="45" t="str">
        <x:v>人工模拟结果，无对应检测报告</x:v>
      </x:c>
    </x:row>
    <x:row r="272">
      <x:c r="A272" s="54" t="str">
        <x:v>SIM-S045</x:v>
      </x:c>
      <x:c r="B272" s="54" t="str">
        <x:v>Cu</x:v>
      </x:c>
      <x:c r="C272" s="45" t="str">
        <x:v>0.0082</x:v>
      </x:c>
      <x:c r="D272" s="45" t="n">
        <x:v>0.0082</x:v>
      </x:c>
      <x:c r="E272" s="54" t="str">
        <x:v>%</x:v>
      </x:c>
      <x:c r="F272" s="45" t="n">
        <x:v>0.001</x:v>
      </x:c>
      <x:c r="G272" s="45" t="str">
        <x:v>模拟检测法-Cu</x:v>
      </x:c>
      <x:c r="H272" s="63" t="n">
        <x:v>46299</x:v>
      </x:c>
      <x:c r="I272" s="54" t="str">
        <x:v>SIM-LAB-02</x:v>
      </x:c>
      <x:c r="J272" s="45" t="str">
        <x:v>人工模拟结果，无对应检测报告</x:v>
      </x:c>
    </x:row>
    <x:row r="273">
      <x:c r="A273" s="54" t="str">
        <x:v>SIM-S045</x:v>
      </x:c>
      <x:c r="B273" s="54" t="str">
        <x:v>Pb</x:v>
      </x:c>
      <x:c r="C273" s="45" t="str">
        <x:v>0.0199</x:v>
      </x:c>
      <x:c r="D273" s="45" t="n">
        <x:v>0.0199</x:v>
      </x:c>
      <x:c r="E273" s="54" t="str">
        <x:v>%</x:v>
      </x:c>
      <x:c r="F273" s="45" t="n">
        <x:v>0.001</x:v>
      </x:c>
      <x:c r="G273" s="45" t="str">
        <x:v>模拟检测法-Pb</x:v>
      </x:c>
      <x:c r="H273" s="63" t="n">
        <x:v>46299</x:v>
      </x:c>
      <x:c r="I273" s="54" t="str">
        <x:v>SIM-LAB-02</x:v>
      </x:c>
      <x:c r="J273" s="45" t="str">
        <x:v>人工模拟结果，无对应检测报告</x:v>
      </x:c>
    </x:row>
    <x:row r="274">
      <x:c r="A274" s="54" t="str">
        <x:v>SIM-S045</x:v>
      </x:c>
      <x:c r="B274" s="54" t="str">
        <x:v>Zn</x:v>
      </x:c>
      <x:c r="C274" s="45" t="str">
        <x:v>0.0811</x:v>
      </x:c>
      <x:c r="D274" s="45" t="n">
        <x:v>0.0811</x:v>
      </x:c>
      <x:c r="E274" s="54" t="str">
        <x:v>%</x:v>
      </x:c>
      <x:c r="F274" s="45" t="n">
        <x:v>0.001</x:v>
      </x:c>
      <x:c r="G274" s="45" t="str">
        <x:v>模拟检测法-Zn</x:v>
      </x:c>
      <x:c r="H274" s="63" t="n">
        <x:v>46299</x:v>
      </x:c>
      <x:c r="I274" s="54" t="str">
        <x:v>SIM-LAB-02</x:v>
      </x:c>
      <x:c r="J274" s="45" t="str">
        <x:v>人工模拟结果，无对应检测报告</x:v>
      </x:c>
    </x:row>
    <x:row r="275">
      <x:c r="A275" s="54" t="str">
        <x:v>SIM-S045</x:v>
      </x:c>
      <x:c r="B275" s="54" t="str">
        <x:v>As</x:v>
      </x:c>
      <x:c r="C275" s="45" t="str">
        <x:v>9.4</x:v>
      </x:c>
      <x:c r="D275" s="45" t="n">
        <x:v>9.4</x:v>
      </x:c>
      <x:c r="E275" s="54" t="str">
        <x:v>mg/kg</x:v>
      </x:c>
      <x:c r="F275" s="45" t="n">
        <x:v>1</x:v>
      </x:c>
      <x:c r="G275" s="45" t="str">
        <x:v>模拟检测法-As</x:v>
      </x:c>
      <x:c r="H275" s="63" t="n">
        <x:v>46299</x:v>
      </x:c>
      <x:c r="I275" s="54" t="str">
        <x:v>SIM-LAB-02</x:v>
      </x:c>
      <x:c r="J275" s="45" t="str">
        <x:v>人工模拟结果，无对应检测报告</x:v>
      </x:c>
    </x:row>
    <x:row r="276">
      <x:c r="A276" s="54" t="str">
        <x:v>SIM-S046</x:v>
      </x:c>
      <x:c r="B276" s="54" t="str">
        <x:v>Au</x:v>
      </x:c>
      <x:c r="C276" s="45" t="str">
        <x:v>0.058</x:v>
      </x:c>
      <x:c r="D276" s="45" t="n">
        <x:v>0.058</x:v>
      </x:c>
      <x:c r="E276" s="54" t="str">
        <x:v>mg/kg</x:v>
      </x:c>
      <x:c r="F276" s="45" t="n">
        <x:v>0.005</x:v>
      </x:c>
      <x:c r="G276" s="45" t="str">
        <x:v>模拟检测法-Au</x:v>
      </x:c>
      <x:c r="H276" s="63" t="n">
        <x:v>46299</x:v>
      </x:c>
      <x:c r="I276" s="54" t="str">
        <x:v>SIM-LAB-02</x:v>
      </x:c>
      <x:c r="J276" s="45" t="str">
        <x:v>人工模拟结果，无对应检测报告</x:v>
      </x:c>
    </x:row>
    <x:row r="277">
      <x:c r="A277" s="54" t="str">
        <x:v>SIM-S046</x:v>
      </x:c>
      <x:c r="B277" s="54" t="str">
        <x:v>Ag</x:v>
      </x:c>
      <x:c r="C277" s="45" t="str">
        <x:v>1.11</x:v>
      </x:c>
      <x:c r="D277" s="45" t="n">
        <x:v>1.11</x:v>
      </x:c>
      <x:c r="E277" s="54" t="str">
        <x:v>mg/kg</x:v>
      </x:c>
      <x:c r="F277" s="45" t="n">
        <x:v>0.1</x:v>
      </x:c>
      <x:c r="G277" s="45" t="str">
        <x:v>模拟检测法-Ag</x:v>
      </x:c>
      <x:c r="H277" s="63" t="n">
        <x:v>46299</x:v>
      </x:c>
      <x:c r="I277" s="54" t="str">
        <x:v>SIM-LAB-02</x:v>
      </x:c>
      <x:c r="J277" s="45" t="str">
        <x:v>人工模拟结果，无对应检测报告</x:v>
      </x:c>
    </x:row>
    <x:row r="278">
      <x:c r="A278" s="54" t="str">
        <x:v>SIM-S046</x:v>
      </x:c>
      <x:c r="B278" s="54" t="str">
        <x:v>Cu</x:v>
      </x:c>
      <x:c r="C278" s="45" t="str">
        <x:v>0.0087</x:v>
      </x:c>
      <x:c r="D278" s="45" t="n">
        <x:v>0.0087</x:v>
      </x:c>
      <x:c r="E278" s="54" t="str">
        <x:v>%</x:v>
      </x:c>
      <x:c r="F278" s="45" t="n">
        <x:v>0.001</x:v>
      </x:c>
      <x:c r="G278" s="45" t="str">
        <x:v>模拟检测法-Cu</x:v>
      </x:c>
      <x:c r="H278" s="63" t="n">
        <x:v>46299</x:v>
      </x:c>
      <x:c r="I278" s="54" t="str">
        <x:v>SIM-LAB-02</x:v>
      </x:c>
      <x:c r="J278" s="45" t="str">
        <x:v>人工模拟结果，无对应检测报告</x:v>
      </x:c>
    </x:row>
    <x:row r="279">
      <x:c r="A279" s="54" t="str">
        <x:v>SIM-S046</x:v>
      </x:c>
      <x:c r="B279" s="54" t="str">
        <x:v>Pb</x:v>
      </x:c>
      <x:c r="C279" s="45" t="str">
        <x:v>0.0189</x:v>
      </x:c>
      <x:c r="D279" s="45" t="n">
        <x:v>0.0189</x:v>
      </x:c>
      <x:c r="E279" s="54" t="str">
        <x:v>%</x:v>
      </x:c>
      <x:c r="F279" s="45" t="n">
        <x:v>0.001</x:v>
      </x:c>
      <x:c r="G279" s="45" t="str">
        <x:v>模拟检测法-Pb</x:v>
      </x:c>
      <x:c r="H279" s="63" t="n">
        <x:v>46299</x:v>
      </x:c>
      <x:c r="I279" s="54" t="str">
        <x:v>SIM-LAB-02</x:v>
      </x:c>
      <x:c r="J279" s="45" t="str">
        <x:v>人工模拟结果，无对应检测报告</x:v>
      </x:c>
    </x:row>
    <x:row r="280">
      <x:c r="A280" s="54" t="str">
        <x:v>SIM-S046</x:v>
      </x:c>
      <x:c r="B280" s="54" t="str">
        <x:v>Zn</x:v>
      </x:c>
      <x:c r="C280" s="45" t="str">
        <x:v>0.0811</x:v>
      </x:c>
      <x:c r="D280" s="45" t="n">
        <x:v>0.0811</x:v>
      </x:c>
      <x:c r="E280" s="54" t="str">
        <x:v>%</x:v>
      </x:c>
      <x:c r="F280" s="45" t="n">
        <x:v>0.001</x:v>
      </x:c>
      <x:c r="G280" s="45" t="str">
        <x:v>模拟检测法-Zn</x:v>
      </x:c>
      <x:c r="H280" s="63" t="n">
        <x:v>46299</x:v>
      </x:c>
      <x:c r="I280" s="54" t="str">
        <x:v>SIM-LAB-02</x:v>
      </x:c>
      <x:c r="J280" s="45" t="str">
        <x:v>人工模拟结果，无对应检测报告</x:v>
      </x:c>
    </x:row>
    <x:row r="281">
      <x:c r="A281" s="54" t="str">
        <x:v>SIM-S046</x:v>
      </x:c>
      <x:c r="B281" s="54" t="str">
        <x:v>As</x:v>
      </x:c>
      <x:c r="C281" s="45" t="str">
        <x:v>8.8</x:v>
      </x:c>
      <x:c r="D281" s="45" t="n">
        <x:v>8.8</x:v>
      </x:c>
      <x:c r="E281" s="54" t="str">
        <x:v>mg/kg</x:v>
      </x:c>
      <x:c r="F281" s="45" t="n">
        <x:v>1</x:v>
      </x:c>
      <x:c r="G281" s="45" t="str">
        <x:v>模拟检测法-As</x:v>
      </x:c>
      <x:c r="H281" s="63" t="n">
        <x:v>46299</x:v>
      </x:c>
      <x:c r="I281" s="54" t="str">
        <x:v>SIM-LAB-02</x:v>
      </x:c>
      <x:c r="J281" s="45" t="str">
        <x:v>人工模拟结果，无对应检测报告</x:v>
      </x:c>
    </x:row>
    <x:row r="282">
      <x:c r="A282" s="54" t="str">
        <x:v>SIM-S047</x:v>
      </x:c>
      <x:c r="B282" s="54" t="str">
        <x:v>Au</x:v>
      </x:c>
      <x:c r="C282" s="45" t="str">
        <x:v>&lt;0.005</x:v>
      </x:c>
      <x:c r="D282" s="45"/>
      <x:c r="E282" s="54" t="str">
        <x:v>mg/kg</x:v>
      </x:c>
      <x:c r="F282" s="45" t="n">
        <x:v>0.005</x:v>
      </x:c>
      <x:c r="G282" s="45" t="str">
        <x:v>模拟检测法-Au</x:v>
      </x:c>
      <x:c r="H282" s="63" t="n">
        <x:v>46299</x:v>
      </x:c>
      <x:c r="I282" s="54" t="str">
        <x:v>SIM-LAB-02</x:v>
      </x:c>
      <x:c r="J282" s="45" t="str">
        <x:v>人工模拟结果，无对应检测报告</x:v>
      </x:c>
    </x:row>
    <x:row r="283">
      <x:c r="A283" s="54" t="str">
        <x:v>SIM-S047</x:v>
      </x:c>
      <x:c r="B283" s="54" t="str">
        <x:v>Ag</x:v>
      </x:c>
      <x:c r="C283" s="45" t="str">
        <x:v>0.73</x:v>
      </x:c>
      <x:c r="D283" s="45" t="n">
        <x:v>0.73</x:v>
      </x:c>
      <x:c r="E283" s="54" t="str">
        <x:v>mg/kg</x:v>
      </x:c>
      <x:c r="F283" s="45" t="n">
        <x:v>0.1</x:v>
      </x:c>
      <x:c r="G283" s="45" t="str">
        <x:v>模拟检测法-Ag</x:v>
      </x:c>
      <x:c r="H283" s="63" t="n">
        <x:v>46299</x:v>
      </x:c>
      <x:c r="I283" s="54" t="str">
        <x:v>SIM-LAB-02</x:v>
      </x:c>
      <x:c r="J283" s="45" t="str">
        <x:v>人工模拟结果，无对应检测报告</x:v>
      </x:c>
    </x:row>
    <x:row r="284">
      <x:c r="A284" s="54" t="str">
        <x:v>SIM-S047</x:v>
      </x:c>
      <x:c r="B284" s="54" t="str">
        <x:v>Cu</x:v>
      </x:c>
      <x:c r="C284" s="45" t="str">
        <x:v>0.0097</x:v>
      </x:c>
      <x:c r="D284" s="45" t="n">
        <x:v>0.0097</x:v>
      </x:c>
      <x:c r="E284" s="54" t="str">
        <x:v>%</x:v>
      </x:c>
      <x:c r="F284" s="45" t="n">
        <x:v>0.001</x:v>
      </x:c>
      <x:c r="G284" s="45" t="str">
        <x:v>模拟检测法-Cu</x:v>
      </x:c>
      <x:c r="H284" s="63" t="n">
        <x:v>46299</x:v>
      </x:c>
      <x:c r="I284" s="54" t="str">
        <x:v>SIM-LAB-02</x:v>
      </x:c>
      <x:c r="J284" s="45" t="str">
        <x:v>人工模拟结果，无对应检测报告</x:v>
      </x:c>
    </x:row>
    <x:row r="285">
      <x:c r="A285" s="54" t="str">
        <x:v>SIM-S047</x:v>
      </x:c>
      <x:c r="B285" s="54" t="str">
        <x:v>Pb</x:v>
      </x:c>
      <x:c r="C285" s="45" t="str">
        <x:v>0.0183</x:v>
      </x:c>
      <x:c r="D285" s="45" t="n">
        <x:v>0.0183</x:v>
      </x:c>
      <x:c r="E285" s="54" t="str">
        <x:v>%</x:v>
      </x:c>
      <x:c r="F285" s="45" t="n">
        <x:v>0.001</x:v>
      </x:c>
      <x:c r="G285" s="45" t="str">
        <x:v>模拟检测法-Pb</x:v>
      </x:c>
      <x:c r="H285" s="63" t="n">
        <x:v>46299</x:v>
      </x:c>
      <x:c r="I285" s="54" t="str">
        <x:v>SIM-LAB-02</x:v>
      </x:c>
      <x:c r="J285" s="45" t="str">
        <x:v>人工模拟结果，无对应检测报告</x:v>
      </x:c>
    </x:row>
    <x:row r="286">
      <x:c r="A286" s="54" t="str">
        <x:v>SIM-S047</x:v>
      </x:c>
      <x:c r="B286" s="54" t="str">
        <x:v>Zn</x:v>
      </x:c>
      <x:c r="C286" s="45" t="str">
        <x:v>0.0745</x:v>
      </x:c>
      <x:c r="D286" s="45" t="n">
        <x:v>0.0745</x:v>
      </x:c>
      <x:c r="E286" s="54" t="str">
        <x:v>%</x:v>
      </x:c>
      <x:c r="F286" s="45" t="n">
        <x:v>0.001</x:v>
      </x:c>
      <x:c r="G286" s="45" t="str">
        <x:v>模拟检测法-Zn</x:v>
      </x:c>
      <x:c r="H286" s="63" t="n">
        <x:v>46299</x:v>
      </x:c>
      <x:c r="I286" s="54" t="str">
        <x:v>SIM-LAB-02</x:v>
      </x:c>
      <x:c r="J286" s="45" t="str">
        <x:v>人工模拟结果，无对应检测报告</x:v>
      </x:c>
    </x:row>
    <x:row r="287">
      <x:c r="A287" s="54" t="str">
        <x:v>SIM-S047</x:v>
      </x:c>
      <x:c r="B287" s="54" t="str">
        <x:v>As</x:v>
      </x:c>
      <x:c r="C287" s="45" t="str">
        <x:v>8.0</x:v>
      </x:c>
      <x:c r="D287" s="45" t="n">
        <x:v>8</x:v>
      </x:c>
      <x:c r="E287" s="54" t="str">
        <x:v>mg/kg</x:v>
      </x:c>
      <x:c r="F287" s="45" t="n">
        <x:v>1</x:v>
      </x:c>
      <x:c r="G287" s="45" t="str">
        <x:v>模拟检测法-As</x:v>
      </x:c>
      <x:c r="H287" s="63" t="n">
        <x:v>46299</x:v>
      </x:c>
      <x:c r="I287" s="54" t="str">
        <x:v>SIM-LAB-02</x:v>
      </x:c>
      <x:c r="J287" s="45" t="str">
        <x:v>人工模拟结果，无对应检测报告</x:v>
      </x:c>
    </x:row>
    <x:row r="288">
      <x:c r="A288" s="54" t="str">
        <x:v>SIM-S048</x:v>
      </x:c>
      <x:c r="B288" s="54" t="str">
        <x:v>Au</x:v>
      </x:c>
      <x:c r="C288" s="45" t="str">
        <x:v>0.045</x:v>
      </x:c>
      <x:c r="D288" s="45" t="n">
        <x:v>0.045</x:v>
      </x:c>
      <x:c r="E288" s="54" t="str">
        <x:v>mg/kg</x:v>
      </x:c>
      <x:c r="F288" s="45" t="n">
        <x:v>0.005</x:v>
      </x:c>
      <x:c r="G288" s="45" t="str">
        <x:v>模拟检测法-Au</x:v>
      </x:c>
      <x:c r="H288" s="63" t="n">
        <x:v>46299</x:v>
      </x:c>
      <x:c r="I288" s="54" t="str">
        <x:v>SIM-LAB-02</x:v>
      </x:c>
      <x:c r="J288" s="45" t="str">
        <x:v>人工模拟结果，无对应检测报告</x:v>
      </x:c>
    </x:row>
    <x:row r="289">
      <x:c r="A289" s="54" t="str">
        <x:v>SIM-S048</x:v>
      </x:c>
      <x:c r="B289" s="54" t="str">
        <x:v>Ag</x:v>
      </x:c>
      <x:c r="C289" s="45" t="str">
        <x:v>0.5</x:v>
      </x:c>
      <x:c r="D289" s="45" t="n">
        <x:v>0.5</x:v>
      </x:c>
      <x:c r="E289" s="54" t="str">
        <x:v>mg/kg</x:v>
      </x:c>
      <x:c r="F289" s="45" t="n">
        <x:v>0.1</x:v>
      </x:c>
      <x:c r="G289" s="45" t="str">
        <x:v>模拟检测法-Ag</x:v>
      </x:c>
      <x:c r="H289" s="63" t="n">
        <x:v>46299</x:v>
      </x:c>
      <x:c r="I289" s="54" t="str">
        <x:v>SIM-LAB-02</x:v>
      </x:c>
      <x:c r="J289" s="45" t="str">
        <x:v>人工模拟结果，无对应检测报告</x:v>
      </x:c>
    </x:row>
    <x:row r="290">
      <x:c r="A290" s="54" t="str">
        <x:v>SIM-S048</x:v>
      </x:c>
      <x:c r="B290" s="54" t="str">
        <x:v>Cu</x:v>
      </x:c>
      <x:c r="C290" s="45" t="str">
        <x:v>0.0109</x:v>
      </x:c>
      <x:c r="D290" s="45" t="n">
        <x:v>0.0109</x:v>
      </x:c>
      <x:c r="E290" s="54" t="str">
        <x:v>%</x:v>
      </x:c>
      <x:c r="F290" s="45" t="n">
        <x:v>0.001</x:v>
      </x:c>
      <x:c r="G290" s="45" t="str">
        <x:v>模拟检测法-Cu</x:v>
      </x:c>
      <x:c r="H290" s="63" t="n">
        <x:v>46299</x:v>
      </x:c>
      <x:c r="I290" s="54" t="str">
        <x:v>SIM-LAB-02</x:v>
      </x:c>
      <x:c r="J290" s="45" t="str">
        <x:v>人工模拟结果，无对应检测报告</x:v>
      </x:c>
    </x:row>
    <x:row r="291">
      <x:c r="A291" s="54" t="str">
        <x:v>SIM-S048</x:v>
      </x:c>
      <x:c r="B291" s="54" t="str">
        <x:v>Pb</x:v>
      </x:c>
      <x:c r="C291" s="45" t="str">
        <x:v>0.018</x:v>
      </x:c>
      <x:c r="D291" s="45" t="n">
        <x:v>0.018</x:v>
      </x:c>
      <x:c r="E291" s="54" t="str">
        <x:v>%</x:v>
      </x:c>
      <x:c r="F291" s="45" t="n">
        <x:v>0.001</x:v>
      </x:c>
      <x:c r="G291" s="45" t="str">
        <x:v>模拟检测法-Pb</x:v>
      </x:c>
      <x:c r="H291" s="63" t="n">
        <x:v>46299</x:v>
      </x:c>
      <x:c r="I291" s="54" t="str">
        <x:v>SIM-LAB-02</x:v>
      </x:c>
      <x:c r="J291" s="45" t="str">
        <x:v>人工模拟结果，无对应检测报告</x:v>
      </x:c>
    </x:row>
    <x:row r="292">
      <x:c r="A292" s="54" t="str">
        <x:v>SIM-S048</x:v>
      </x:c>
      <x:c r="B292" s="54" t="str">
        <x:v>Zn</x:v>
      </x:c>
      <x:c r="C292" s="45" t="str">
        <x:v>0.0635</x:v>
      </x:c>
      <x:c r="D292" s="45" t="n">
        <x:v>0.0635</x:v>
      </x:c>
      <x:c r="E292" s="54" t="str">
        <x:v>%</x:v>
      </x:c>
      <x:c r="F292" s="45" t="n">
        <x:v>0.001</x:v>
      </x:c>
      <x:c r="G292" s="45" t="str">
        <x:v>模拟检测法-Zn</x:v>
      </x:c>
      <x:c r="H292" s="63" t="n">
        <x:v>46299</x:v>
      </x:c>
      <x:c r="I292" s="54" t="str">
        <x:v>SIM-LAB-02</x:v>
      </x:c>
      <x:c r="J292" s="45" t="str">
        <x:v>人工模拟结果，无对应检测报告</x:v>
      </x:c>
    </x:row>
    <x:row r="293">
      <x:c r="A293" s="54" t="str">
        <x:v>SIM-S048</x:v>
      </x:c>
      <x:c r="B293" s="54" t="str">
        <x:v>As</x:v>
      </x:c>
      <x:c r="C293" s="45" t="str">
        <x:v>7.1</x:v>
      </x:c>
      <x:c r="D293" s="45" t="n">
        <x:v>7.1</x:v>
      </x:c>
      <x:c r="E293" s="54" t="str">
        <x:v>mg/kg</x:v>
      </x:c>
      <x:c r="F293" s="45" t="n">
        <x:v>1</x:v>
      </x:c>
      <x:c r="G293" s="45" t="str">
        <x:v>模拟检测法-As</x:v>
      </x:c>
      <x:c r="H293" s="63" t="n">
        <x:v>46299</x:v>
      </x:c>
      <x:c r="I293" s="54" t="str">
        <x:v>SIM-LAB-02</x:v>
      </x:c>
      <x:c r="J293" s="45" t="str">
        <x:v>人工模拟结果，无对应检测报告</x:v>
      </x:c>
    </x:row>
    <x:row r="294">
      <x:c r="A294" s="54" t="str">
        <x:v>SIM-S049</x:v>
      </x:c>
      <x:c r="B294" s="54" t="str">
        <x:v>Au</x:v>
      </x:c>
      <x:c r="C294" s="45" t="str">
        <x:v>0.029</x:v>
      </x:c>
      <x:c r="D294" s="45" t="n">
        <x:v>0.029</x:v>
      </x:c>
      <x:c r="E294" s="54" t="str">
        <x:v>mg/kg</x:v>
      </x:c>
      <x:c r="F294" s="45" t="n">
        <x:v>0.005</x:v>
      </x:c>
      <x:c r="G294" s="45" t="str">
        <x:v>模拟检测法-Au</x:v>
      </x:c>
      <x:c r="H294" s="63" t="n">
        <x:v>46299</x:v>
      </x:c>
      <x:c r="I294" s="54" t="str">
        <x:v>SIM-LAB-02</x:v>
      </x:c>
      <x:c r="J294" s="45" t="str">
        <x:v>人工模拟结果，无对应检测报告</x:v>
      </x:c>
    </x:row>
    <x:row r="295">
      <x:c r="A295" s="54" t="str">
        <x:v>SIM-S049</x:v>
      </x:c>
      <x:c r="B295" s="54" t="str">
        <x:v>Ag</x:v>
      </x:c>
      <x:c r="C295" s="45" t="str">
        <x:v>0.64</x:v>
      </x:c>
      <x:c r="D295" s="45" t="n">
        <x:v>0.64</x:v>
      </x:c>
      <x:c r="E295" s="54" t="str">
        <x:v>mg/kg</x:v>
      </x:c>
      <x:c r="F295" s="45" t="n">
        <x:v>0.1</x:v>
      </x:c>
      <x:c r="G295" s="45" t="str">
        <x:v>模拟检测法-Ag</x:v>
      </x:c>
      <x:c r="H295" s="63" t="n">
        <x:v>46299</x:v>
      </x:c>
      <x:c r="I295" s="54" t="str">
        <x:v>SIM-LAB-02</x:v>
      </x:c>
      <x:c r="J295" s="45" t="str">
        <x:v>人工模拟结果，无对应检测报告</x:v>
      </x:c>
    </x:row>
    <x:row r="296">
      <x:c r="A296" s="54" t="str">
        <x:v>SIM-S049</x:v>
      </x:c>
      <x:c r="B296" s="54" t="str">
        <x:v>Cu</x:v>
      </x:c>
      <x:c r="C296" s="45" t="str">
        <x:v>0.012</x:v>
      </x:c>
      <x:c r="D296" s="45" t="n">
        <x:v>0.012</x:v>
      </x:c>
      <x:c r="E296" s="54" t="str">
        <x:v>%</x:v>
      </x:c>
      <x:c r="F296" s="45" t="n">
        <x:v>0.001</x:v>
      </x:c>
      <x:c r="G296" s="45" t="str">
        <x:v>模拟检测法-Cu</x:v>
      </x:c>
      <x:c r="H296" s="63" t="n">
        <x:v>46299</x:v>
      </x:c>
      <x:c r="I296" s="54" t="str">
        <x:v>SIM-LAB-02</x:v>
      </x:c>
      <x:c r="J296" s="45" t="str">
        <x:v>人工模拟结果，无对应检测报告</x:v>
      </x:c>
    </x:row>
    <x:row r="297">
      <x:c r="A297" s="54" t="str">
        <x:v>SIM-S049</x:v>
      </x:c>
      <x:c r="B297" s="54" t="str">
        <x:v>Pb</x:v>
      </x:c>
      <x:c r="C297" s="45" t="str">
        <x:v>0.0182</x:v>
      </x:c>
      <x:c r="D297" s="45" t="n">
        <x:v>0.0182</x:v>
      </x:c>
      <x:c r="E297" s="54" t="str">
        <x:v>%</x:v>
      </x:c>
      <x:c r="F297" s="45" t="n">
        <x:v>0.001</x:v>
      </x:c>
      <x:c r="G297" s="45" t="str">
        <x:v>模拟检测法-Pb</x:v>
      </x:c>
      <x:c r="H297" s="63" t="n">
        <x:v>46299</x:v>
      </x:c>
      <x:c r="I297" s="54" t="str">
        <x:v>SIM-LAB-02</x:v>
      </x:c>
      <x:c r="J297" s="45" t="str">
        <x:v>人工模拟结果，无对应检测报告</x:v>
      </x:c>
    </x:row>
    <x:row r="298">
      <x:c r="A298" s="54" t="str">
        <x:v>SIM-S049</x:v>
      </x:c>
      <x:c r="B298" s="54" t="str">
        <x:v>Zn</x:v>
      </x:c>
      <x:c r="C298" s="45" t="str">
        <x:v>0.052</x:v>
      </x:c>
      <x:c r="D298" s="45" t="n">
        <x:v>0.052</x:v>
      </x:c>
      <x:c r="E298" s="54" t="str">
        <x:v>%</x:v>
      </x:c>
      <x:c r="F298" s="45" t="n">
        <x:v>0.001</x:v>
      </x:c>
      <x:c r="G298" s="45" t="str">
        <x:v>模拟检测法-Zn</x:v>
      </x:c>
      <x:c r="H298" s="63" t="n">
        <x:v>46299</x:v>
      </x:c>
      <x:c r="I298" s="54" t="str">
        <x:v>SIM-LAB-02</x:v>
      </x:c>
      <x:c r="J298" s="45" t="str">
        <x:v>人工模拟结果，无对应检测报告</x:v>
      </x:c>
    </x:row>
    <x:row r="299">
      <x:c r="A299" s="54" t="str">
        <x:v>SIM-S049</x:v>
      </x:c>
      <x:c r="B299" s="54" t="str">
        <x:v>As</x:v>
      </x:c>
      <x:c r="C299" s="45" t="str">
        <x:v>6.2</x:v>
      </x:c>
      <x:c r="D299" s="45" t="n">
        <x:v>6.2</x:v>
      </x:c>
      <x:c r="E299" s="54" t="str">
        <x:v>mg/kg</x:v>
      </x:c>
      <x:c r="F299" s="45" t="n">
        <x:v>1</x:v>
      </x:c>
      <x:c r="G299" s="45" t="str">
        <x:v>模拟检测法-As</x:v>
      </x:c>
      <x:c r="H299" s="63" t="n">
        <x:v>46299</x:v>
      </x:c>
      <x:c r="I299" s="54" t="str">
        <x:v>SIM-LAB-02</x:v>
      </x:c>
      <x:c r="J299" s="45" t="str">
        <x:v>人工模拟结果，无对应检测报告</x:v>
      </x:c>
    </x:row>
    <x:row r="300">
      <x:c r="A300" s="54" t="str">
        <x:v>SIM-S050</x:v>
      </x:c>
      <x:c r="B300" s="54" t="str">
        <x:v>Au</x:v>
      </x:c>
      <x:c r="C300" s="45" t="str">
        <x:v>0.026</x:v>
      </x:c>
      <x:c r="D300" s="45" t="n">
        <x:v>0.026</x:v>
      </x:c>
      <x:c r="E300" s="54" t="str">
        <x:v>mg/kg</x:v>
      </x:c>
      <x:c r="F300" s="45" t="n">
        <x:v>0.005</x:v>
      </x:c>
      <x:c r="G300" s="45" t="str">
        <x:v>模拟检测法-Au</x:v>
      </x:c>
      <x:c r="H300" s="63" t="n">
        <x:v>46299</x:v>
      </x:c>
      <x:c r="I300" s="54" t="str">
        <x:v>SIM-LAB-02</x:v>
      </x:c>
      <x:c r="J300" s="45" t="str">
        <x:v>人工模拟结果，无对应检测报告</x:v>
      </x:c>
    </x:row>
    <x:row r="301">
      <x:c r="A301" s="54" t="str">
        <x:v>SIM-S050</x:v>
      </x:c>
      <x:c r="B301" s="54" t="str">
        <x:v>Ag</x:v>
      </x:c>
      <x:c r="C301" s="45" t="str">
        <x:v>1.02</x:v>
      </x:c>
      <x:c r="D301" s="45" t="n">
        <x:v>1.02</x:v>
      </x:c>
      <x:c r="E301" s="54" t="str">
        <x:v>mg/kg</x:v>
      </x:c>
      <x:c r="F301" s="45" t="n">
        <x:v>0.1</x:v>
      </x:c>
      <x:c r="G301" s="45" t="str">
        <x:v>模拟检测法-Ag</x:v>
      </x:c>
      <x:c r="H301" s="63" t="n">
        <x:v>46299</x:v>
      </x:c>
      <x:c r="I301" s="54" t="str">
        <x:v>SIM-LAB-02</x:v>
      </x:c>
      <x:c r="J301" s="45" t="str">
        <x:v>人工模拟结果，无对应检测报告</x:v>
      </x:c>
    </x:row>
    <x:row r="302">
      <x:c r="A302" s="54" t="str">
        <x:v>SIM-S050</x:v>
      </x:c>
      <x:c r="B302" s="54" t="str">
        <x:v>Cu</x:v>
      </x:c>
      <x:c r="C302" s="45" t="str">
        <x:v>0.013</x:v>
      </x:c>
      <x:c r="D302" s="45" t="n">
        <x:v>0.013</x:v>
      </x:c>
      <x:c r="E302" s="54" t="str">
        <x:v>%</x:v>
      </x:c>
      <x:c r="F302" s="45" t="n">
        <x:v>0.001</x:v>
      </x:c>
      <x:c r="G302" s="45" t="str">
        <x:v>模拟检测法-Cu</x:v>
      </x:c>
      <x:c r="H302" s="63" t="n">
        <x:v>46299</x:v>
      </x:c>
      <x:c r="I302" s="54" t="str">
        <x:v>SIM-LAB-02</x:v>
      </x:c>
      <x:c r="J302" s="45" t="str">
        <x:v>人工模拟结果，无对应检测报告</x:v>
      </x:c>
    </x:row>
    <x:row r="303">
      <x:c r="A303" s="54" t="str">
        <x:v>SIM-S050</x:v>
      </x:c>
      <x:c r="B303" s="54" t="str">
        <x:v>Pb</x:v>
      </x:c>
      <x:c r="C303" s="45" t="str">
        <x:v>0.0187</x:v>
      </x:c>
      <x:c r="D303" s="45" t="n">
        <x:v>0.0187</x:v>
      </x:c>
      <x:c r="E303" s="54" t="str">
        <x:v>%</x:v>
      </x:c>
      <x:c r="F303" s="45" t="n">
        <x:v>0.001</x:v>
      </x:c>
      <x:c r="G303" s="45" t="str">
        <x:v>模拟检测法-Pb</x:v>
      </x:c>
      <x:c r="H303" s="63" t="n">
        <x:v>46299</x:v>
      </x:c>
      <x:c r="I303" s="54" t="str">
        <x:v>SIM-LAB-02</x:v>
      </x:c>
      <x:c r="J303" s="45" t="str">
        <x:v>人工模拟结果，无对应检测报告</x:v>
      </x:c>
    </x:row>
    <x:row r="304">
      <x:c r="A304" s="54" t="str">
        <x:v>SIM-S050</x:v>
      </x:c>
      <x:c r="B304" s="54" t="str">
        <x:v>Zn</x:v>
      </x:c>
      <x:c r="C304" s="45" t="str">
        <x:v>0.0439</x:v>
      </x:c>
      <x:c r="D304" s="45" t="n">
        <x:v>0.0439</x:v>
      </x:c>
      <x:c r="E304" s="54" t="str">
        <x:v>%</x:v>
      </x:c>
      <x:c r="F304" s="45" t="n">
        <x:v>0.001</x:v>
      </x:c>
      <x:c r="G304" s="45" t="str">
        <x:v>模拟检测法-Zn</x:v>
      </x:c>
      <x:c r="H304" s="63" t="n">
        <x:v>46299</x:v>
      </x:c>
      <x:c r="I304" s="54" t="str">
        <x:v>SIM-LAB-02</x:v>
      </x:c>
      <x:c r="J304" s="45" t="str">
        <x:v>人工模拟结果，无对应检测报告</x:v>
      </x:c>
    </x:row>
    <x:row r="305">
      <x:c r="A305" s="54" t="str">
        <x:v>SIM-S050</x:v>
      </x:c>
      <x:c r="B305" s="54" t="str">
        <x:v>As</x:v>
      </x:c>
      <x:c r="C305" s="45" t="str">
        <x:v>5.4</x:v>
      </x:c>
      <x:c r="D305" s="45" t="n">
        <x:v>5.4</x:v>
      </x:c>
      <x:c r="E305" s="54" t="str">
        <x:v>mg/kg</x:v>
      </x:c>
      <x:c r="F305" s="45" t="n">
        <x:v>1</x:v>
      </x:c>
      <x:c r="G305" s="45" t="str">
        <x:v>模拟检测法-As</x:v>
      </x:c>
      <x:c r="H305" s="63" t="n">
        <x:v>46299</x:v>
      </x:c>
      <x:c r="I305" s="54" t="str">
        <x:v>SIM-LAB-02</x:v>
      </x:c>
      <x:c r="J305" s="45" t="str">
        <x:v>人工模拟结果，无对应检测报告</x:v>
      </x:c>
    </x:row>
    <x:row r="306">
      <x:c r="A306" s="54" t="str">
        <x:v>SIM-S051</x:v>
      </x:c>
      <x:c r="B306" s="54" t="str">
        <x:v>Au</x:v>
      </x:c>
      <x:c r="C306" s="45" t="str">
        <x:v>0.038</x:v>
      </x:c>
      <x:c r="D306" s="45" t="n">
        <x:v>0.038</x:v>
      </x:c>
      <x:c r="E306" s="54" t="str">
        <x:v>mg/kg</x:v>
      </x:c>
      <x:c r="F306" s="45" t="n">
        <x:v>0.005</x:v>
      </x:c>
      <x:c r="G306" s="45" t="str">
        <x:v>模拟检测法-Au</x:v>
      </x:c>
      <x:c r="H306" s="63" t="n">
        <x:v>46299</x:v>
      </x:c>
      <x:c r="I306" s="54" t="str">
        <x:v>SIM-LAB-02</x:v>
      </x:c>
      <x:c r="J306" s="45" t="str">
        <x:v>人工模拟结果，无对应检测报告</x:v>
      </x:c>
    </x:row>
    <x:row r="307">
      <x:c r="A307" s="54" t="str">
        <x:v>SIM-S051</x:v>
      </x:c>
      <x:c r="B307" s="54" t="str">
        <x:v>Ag</x:v>
      </x:c>
      <x:c r="C307" s="45" t="str">
        <x:v>1.29</x:v>
      </x:c>
      <x:c r="D307" s="45" t="n">
        <x:v>1.29</x:v>
      </x:c>
      <x:c r="E307" s="54" t="str">
        <x:v>mg/kg</x:v>
      </x:c>
      <x:c r="F307" s="45" t="n">
        <x:v>0.1</x:v>
      </x:c>
      <x:c r="G307" s="45" t="str">
        <x:v>模拟检测法-Ag</x:v>
      </x:c>
      <x:c r="H307" s="63" t="n">
        <x:v>46299</x:v>
      </x:c>
      <x:c r="I307" s="54" t="str">
        <x:v>SIM-LAB-02</x:v>
      </x:c>
      <x:c r="J307" s="45" t="str">
        <x:v>人工模拟结果，无对应检测报告</x:v>
      </x:c>
    </x:row>
    <x:row r="308">
      <x:c r="A308" s="54" t="str">
        <x:v>SIM-S051</x:v>
      </x:c>
      <x:c r="B308" s="54" t="str">
        <x:v>Cu</x:v>
      </x:c>
      <x:c r="C308" s="45" t="str">
        <x:v>0.0137</x:v>
      </x:c>
      <x:c r="D308" s="45" t="n">
        <x:v>0.0137</x:v>
      </x:c>
      <x:c r="E308" s="54" t="str">
        <x:v>%</x:v>
      </x:c>
      <x:c r="F308" s="45" t="n">
        <x:v>0.001</x:v>
      </x:c>
      <x:c r="G308" s="45" t="str">
        <x:v>模拟检测法-Cu</x:v>
      </x:c>
      <x:c r="H308" s="63" t="n">
        <x:v>46299</x:v>
      </x:c>
      <x:c r="I308" s="54" t="str">
        <x:v>SIM-LAB-02</x:v>
      </x:c>
      <x:c r="J308" s="45" t="str">
        <x:v>人工模拟结果，无对应检测报告</x:v>
      </x:c>
    </x:row>
    <x:row r="309">
      <x:c r="A309" s="54" t="str">
        <x:v>SIM-S051</x:v>
      </x:c>
      <x:c r="B309" s="54" t="str">
        <x:v>Pb</x:v>
      </x:c>
      <x:c r="C309" s="45" t="str">
        <x:v>0.0196</x:v>
      </x:c>
      <x:c r="D309" s="45" t="n">
        <x:v>0.0196</x:v>
      </x:c>
      <x:c r="E309" s="54" t="str">
        <x:v>%</x:v>
      </x:c>
      <x:c r="F309" s="45" t="n">
        <x:v>0.001</x:v>
      </x:c>
      <x:c r="G309" s="45" t="str">
        <x:v>模拟检测法-Pb</x:v>
      </x:c>
      <x:c r="H309" s="63" t="n">
        <x:v>46299</x:v>
      </x:c>
      <x:c r="I309" s="54" t="str">
        <x:v>SIM-LAB-02</x:v>
      </x:c>
      <x:c r="J309" s="45" t="str">
        <x:v>人工模拟结果，无对应检测报告</x:v>
      </x:c>
    </x:row>
    <x:row r="310">
      <x:c r="A310" s="54" t="str">
        <x:v>SIM-S051</x:v>
      </x:c>
      <x:c r="B310" s="54" t="str">
        <x:v>Zn</x:v>
      </x:c>
      <x:c r="C310" s="45" t="str">
        <x:v>0.0422</x:v>
      </x:c>
      <x:c r="D310" s="45" t="n">
        <x:v>0.0422</x:v>
      </x:c>
      <x:c r="E310" s="54" t="str">
        <x:v>%</x:v>
      </x:c>
      <x:c r="F310" s="45" t="n">
        <x:v>0.001</x:v>
      </x:c>
      <x:c r="G310" s="45" t="str">
        <x:v>模拟检测法-Zn</x:v>
      </x:c>
      <x:c r="H310" s="63" t="n">
        <x:v>46299</x:v>
      </x:c>
      <x:c r="I310" s="54" t="str">
        <x:v>SIM-LAB-02</x:v>
      </x:c>
      <x:c r="J310" s="45" t="str">
        <x:v>人工模拟结果，无对应检测报告</x:v>
      </x:c>
    </x:row>
    <x:row r="311">
      <x:c r="A311" s="54" t="str">
        <x:v>SIM-S051</x:v>
      </x:c>
      <x:c r="B311" s="54" t="str">
        <x:v>As</x:v>
      </x:c>
      <x:c r="C311" s="45" t="str">
        <x:v>4.7</x:v>
      </x:c>
      <x:c r="D311" s="45" t="n">
        <x:v>4.7</x:v>
      </x:c>
      <x:c r="E311" s="54" t="str">
        <x:v>mg/kg</x:v>
      </x:c>
      <x:c r="F311" s="45" t="n">
        <x:v>1</x:v>
      </x:c>
      <x:c r="G311" s="45" t="str">
        <x:v>模拟检测法-As</x:v>
      </x:c>
      <x:c r="H311" s="63" t="n">
        <x:v>46299</x:v>
      </x:c>
      <x:c r="I311" s="54" t="str">
        <x:v>SIM-LAB-02</x:v>
      </x:c>
      <x:c r="J311" s="45" t="str">
        <x:v>人工模拟结果，无对应检测报告</x:v>
      </x:c>
    </x:row>
    <x:row r="312">
      <x:c r="A312" s="54" t="str">
        <x:v>SIM-S052</x:v>
      </x:c>
      <x:c r="B312" s="54" t="str">
        <x:v>Au</x:v>
      </x:c>
      <x:c r="C312" s="45" t="str">
        <x:v>0.055</x:v>
      </x:c>
      <x:c r="D312" s="45" t="n">
        <x:v>0.055</x:v>
      </x:c>
      <x:c r="E312" s="54" t="str">
        <x:v>mg/kg</x:v>
      </x:c>
      <x:c r="F312" s="45" t="n">
        <x:v>0.005</x:v>
      </x:c>
      <x:c r="G312" s="45" t="str">
        <x:v>模拟检测法-Au</x:v>
      </x:c>
      <x:c r="H312" s="63" t="n">
        <x:v>46299</x:v>
      </x:c>
      <x:c r="I312" s="54" t="str">
        <x:v>SIM-LAB-02</x:v>
      </x:c>
      <x:c r="J312" s="45" t="str">
        <x:v>人工模拟结果，无对应检测报告</x:v>
      </x:c>
    </x:row>
    <x:row r="313">
      <x:c r="A313" s="54" t="str">
        <x:v>SIM-S052</x:v>
      </x:c>
      <x:c r="B313" s="54" t="str">
        <x:v>Ag</x:v>
      </x:c>
      <x:c r="C313" s="45" t="str">
        <x:v>1.2</x:v>
      </x:c>
      <x:c r="D313" s="45" t="n">
        <x:v>1.2</x:v>
      </x:c>
      <x:c r="E313" s="54" t="str">
        <x:v>mg/kg</x:v>
      </x:c>
      <x:c r="F313" s="45" t="n">
        <x:v>0.1</x:v>
      </x:c>
      <x:c r="G313" s="45" t="str">
        <x:v>模拟检测法-Ag</x:v>
      </x:c>
      <x:c r="H313" s="63" t="n">
        <x:v>46299</x:v>
      </x:c>
      <x:c r="I313" s="54" t="str">
        <x:v>SIM-LAB-02</x:v>
      </x:c>
      <x:c r="J313" s="45" t="str">
        <x:v>人工模拟结果，无对应检测报告</x:v>
      </x:c>
    </x:row>
    <x:row r="314">
      <x:c r="A314" s="54" t="str">
        <x:v>SIM-S052</x:v>
      </x:c>
      <x:c r="B314" s="54" t="str">
        <x:v>Cu</x:v>
      </x:c>
      <x:c r="C314" s="45" t="str">
        <x:v>0.014</x:v>
      </x:c>
      <x:c r="D314" s="45" t="n">
        <x:v>0.014</x:v>
      </x:c>
      <x:c r="E314" s="54" t="str">
        <x:v>%</x:v>
      </x:c>
      <x:c r="F314" s="45" t="n">
        <x:v>0.001</x:v>
      </x:c>
      <x:c r="G314" s="45" t="str">
        <x:v>模拟检测法-Cu</x:v>
      </x:c>
      <x:c r="H314" s="63" t="n">
        <x:v>46299</x:v>
      </x:c>
      <x:c r="I314" s="54" t="str">
        <x:v>SIM-LAB-02</x:v>
      </x:c>
      <x:c r="J314" s="45" t="str">
        <x:v>人工模拟结果，无对应检测报告</x:v>
      </x:c>
    </x:row>
    <x:row r="315">
      <x:c r="A315" s="54" t="str">
        <x:v>SIM-S052</x:v>
      </x:c>
      <x:c r="B315" s="54" t="str">
        <x:v>Pb</x:v>
      </x:c>
      <x:c r="C315" s="45" t="str">
        <x:v>0.0209</x:v>
      </x:c>
      <x:c r="D315" s="45" t="n">
        <x:v>0.0209</x:v>
      </x:c>
      <x:c r="E315" s="54" t="str">
        <x:v>%</x:v>
      </x:c>
      <x:c r="F315" s="45" t="n">
        <x:v>0.001</x:v>
      </x:c>
      <x:c r="G315" s="45" t="str">
        <x:v>模拟检测法-Pb</x:v>
      </x:c>
      <x:c r="H315" s="63" t="n">
        <x:v>46299</x:v>
      </x:c>
      <x:c r="I315" s="54" t="str">
        <x:v>SIM-LAB-02</x:v>
      </x:c>
      <x:c r="J315" s="45" t="str">
        <x:v>人工模拟结果，无对应检测报告</x:v>
      </x:c>
    </x:row>
    <x:row r="316">
      <x:c r="A316" s="54" t="str">
        <x:v>SIM-S052</x:v>
      </x:c>
      <x:c r="B316" s="54" t="str">
        <x:v>Zn</x:v>
      </x:c>
      <x:c r="C316" s="45" t="str">
        <x:v>0.0474</x:v>
      </x:c>
      <x:c r="D316" s="45" t="n">
        <x:v>0.0474</x:v>
      </x:c>
      <x:c r="E316" s="54" t="str">
        <x:v>%</x:v>
      </x:c>
      <x:c r="F316" s="45" t="n">
        <x:v>0.001</x:v>
      </x:c>
      <x:c r="G316" s="45" t="str">
        <x:v>模拟检测法-Zn</x:v>
      </x:c>
      <x:c r="H316" s="63" t="n">
        <x:v>46299</x:v>
      </x:c>
      <x:c r="I316" s="54" t="str">
        <x:v>SIM-LAB-02</x:v>
      </x:c>
      <x:c r="J316" s="45" t="str">
        <x:v>人工模拟结果，无对应检测报告</x:v>
      </x:c>
    </x:row>
    <x:row r="317">
      <x:c r="A317" s="54" t="str">
        <x:v>SIM-S052</x:v>
      </x:c>
      <x:c r="B317" s="54" t="str">
        <x:v>As</x:v>
      </x:c>
      <x:c r="C317" s="45" t="str">
        <x:v>4.2</x:v>
      </x:c>
      <x:c r="D317" s="45" t="n">
        <x:v>4.2</x:v>
      </x:c>
      <x:c r="E317" s="54" t="str">
        <x:v>mg/kg</x:v>
      </x:c>
      <x:c r="F317" s="45" t="n">
        <x:v>1</x:v>
      </x:c>
      <x:c r="G317" s="45" t="str">
        <x:v>模拟检测法-As</x:v>
      </x:c>
      <x:c r="H317" s="63" t="n">
        <x:v>46299</x:v>
      </x:c>
      <x:c r="I317" s="54" t="str">
        <x:v>SIM-LAB-02</x:v>
      </x:c>
      <x:c r="J317" s="45" t="str">
        <x:v>人工模拟结果，无对应检测报告</x:v>
      </x:c>
    </x:row>
    <x:row r="318">
      <x:c r="A318" s="54" t="str">
        <x:v>SIM-S053</x:v>
      </x:c>
      <x:c r="B318" s="54" t="str">
        <x:v>Au</x:v>
      </x:c>
      <x:c r="C318" s="45" t="str">
        <x:v>0.061</x:v>
      </x:c>
      <x:c r="D318" s="45" t="n">
        <x:v>0.061</x:v>
      </x:c>
      <x:c r="E318" s="54" t="str">
        <x:v>mg/kg</x:v>
      </x:c>
      <x:c r="F318" s="45" t="n">
        <x:v>0.005</x:v>
      </x:c>
      <x:c r="G318" s="45" t="str">
        <x:v>模拟检测法-Au</x:v>
      </x:c>
      <x:c r="H318" s="63" t="n">
        <x:v>46299</x:v>
      </x:c>
      <x:c r="I318" s="54" t="str">
        <x:v>SIM-LAB-02</x:v>
      </x:c>
      <x:c r="J318" s="45" t="str">
        <x:v>人工模拟结果，无对应检测报告</x:v>
      </x:c>
    </x:row>
    <x:row r="319">
      <x:c r="A319" s="54" t="str">
        <x:v>SIM-S053</x:v>
      </x:c>
      <x:c r="B319" s="54" t="str">
        <x:v>Ag</x:v>
      </x:c>
      <x:c r="C319" s="45" t="str">
        <x:v>0.83</x:v>
      </x:c>
      <x:c r="D319" s="45" t="n">
        <x:v>0.83</x:v>
      </x:c>
      <x:c r="E319" s="54" t="str">
        <x:v>mg/kg</x:v>
      </x:c>
      <x:c r="F319" s="45" t="n">
        <x:v>0.1</x:v>
      </x:c>
      <x:c r="G319" s="45" t="str">
        <x:v>模拟检测法-Ag</x:v>
      </x:c>
      <x:c r="H319" s="63" t="n">
        <x:v>46299</x:v>
      </x:c>
      <x:c r="I319" s="54" t="str">
        <x:v>SIM-LAB-02</x:v>
      </x:c>
      <x:c r="J319" s="45" t="str">
        <x:v>人工模拟结果，无对应检测报告</x:v>
      </x:c>
    </x:row>
    <x:row r="320">
      <x:c r="A320" s="54" t="str">
        <x:v>SIM-S053</x:v>
      </x:c>
      <x:c r="B320" s="54" t="str">
        <x:v>Cu</x:v>
      </x:c>
      <x:c r="C320" s="45" t="str">
        <x:v>0.0138</x:v>
      </x:c>
      <x:c r="D320" s="45" t="n">
        <x:v>0.0138</x:v>
      </x:c>
      <x:c r="E320" s="54" t="str">
        <x:v>%</x:v>
      </x:c>
      <x:c r="F320" s="45" t="n">
        <x:v>0.001</x:v>
      </x:c>
      <x:c r="G320" s="45" t="str">
        <x:v>模拟检测法-Cu</x:v>
      </x:c>
      <x:c r="H320" s="63" t="n">
        <x:v>46299</x:v>
      </x:c>
      <x:c r="I320" s="54" t="str">
        <x:v>SIM-LAB-02</x:v>
      </x:c>
      <x:c r="J320" s="45" t="str">
        <x:v>人工模拟结果，无对应检测报告</x:v>
      </x:c>
    </x:row>
    <x:row r="321">
      <x:c r="A321" s="54" t="str">
        <x:v>SIM-S053</x:v>
      </x:c>
      <x:c r="B321" s="54" t="str">
        <x:v>Pb</x:v>
      </x:c>
      <x:c r="C321" s="45" t="str">
        <x:v>0.0224</x:v>
      </x:c>
      <x:c r="D321" s="45" t="n">
        <x:v>0.0224</x:v>
      </x:c>
      <x:c r="E321" s="54" t="str">
        <x:v>%</x:v>
      </x:c>
      <x:c r="F321" s="45" t="n">
        <x:v>0.001</x:v>
      </x:c>
      <x:c r="G321" s="45" t="str">
        <x:v>模拟检测法-Pb</x:v>
      </x:c>
      <x:c r="H321" s="63" t="n">
        <x:v>46299</x:v>
      </x:c>
      <x:c r="I321" s="54" t="str">
        <x:v>SIM-LAB-02</x:v>
      </x:c>
      <x:c r="J321" s="45" t="str">
        <x:v>人工模拟结果，无对应检测报告</x:v>
      </x:c>
    </x:row>
    <x:row r="322">
      <x:c r="A322" s="54" t="str">
        <x:v>SIM-S053</x:v>
      </x:c>
      <x:c r="B322" s="54" t="str">
        <x:v>Zn</x:v>
      </x:c>
      <x:c r="C322" s="45" t="str">
        <x:v>0.0577</x:v>
      </x:c>
      <x:c r="D322" s="45" t="n">
        <x:v>0.0577</x:v>
      </x:c>
      <x:c r="E322" s="54" t="str">
        <x:v>%</x:v>
      </x:c>
      <x:c r="F322" s="45" t="n">
        <x:v>0.001</x:v>
      </x:c>
      <x:c r="G322" s="45" t="str">
        <x:v>模拟检测法-Zn</x:v>
      </x:c>
      <x:c r="H322" s="63" t="n">
        <x:v>46299</x:v>
      </x:c>
      <x:c r="I322" s="54" t="str">
        <x:v>SIM-LAB-02</x:v>
      </x:c>
      <x:c r="J322" s="45" t="str">
        <x:v>人工模拟结果，无对应检测报告</x:v>
      </x:c>
    </x:row>
    <x:row r="323">
      <x:c r="A323" s="54" t="str">
        <x:v>SIM-S053</x:v>
      </x:c>
      <x:c r="B323" s="54" t="str">
        <x:v>As</x:v>
      </x:c>
      <x:c r="C323" s="45" t="str">
        <x:v>4.0</x:v>
      </x:c>
      <x:c r="D323" s="45" t="n">
        <x:v>4</x:v>
      </x:c>
      <x:c r="E323" s="54" t="str">
        <x:v>mg/kg</x:v>
      </x:c>
      <x:c r="F323" s="45" t="n">
        <x:v>1</x:v>
      </x:c>
      <x:c r="G323" s="45" t="str">
        <x:v>模拟检测法-As</x:v>
      </x:c>
      <x:c r="H323" s="63" t="n">
        <x:v>46299</x:v>
      </x:c>
      <x:c r="I323" s="54" t="str">
        <x:v>SIM-LAB-02</x:v>
      </x:c>
      <x:c r="J323" s="45" t="str">
        <x:v>人工模拟结果，无对应检测报告</x:v>
      </x:c>
    </x:row>
    <x:row r="324">
      <x:c r="A324" s="54" t="str">
        <x:v>SIM-S054</x:v>
      </x:c>
      <x:c r="B324" s="54" t="str">
        <x:v>Au</x:v>
      </x:c>
      <x:c r="C324" s="45" t="str">
        <x:v>0.05</x:v>
      </x:c>
      <x:c r="D324" s="45" t="n">
        <x:v>0.05</x:v>
      </x:c>
      <x:c r="E324" s="54" t="str">
        <x:v>mg/kg</x:v>
      </x:c>
      <x:c r="F324" s="45" t="n">
        <x:v>0.005</x:v>
      </x:c>
      <x:c r="G324" s="45" t="str">
        <x:v>模拟检测法-Au</x:v>
      </x:c>
      <x:c r="H324" s="63" t="n">
        <x:v>46299</x:v>
      </x:c>
      <x:c r="I324" s="54" t="str">
        <x:v>SIM-LAB-02</x:v>
      </x:c>
      <x:c r="J324" s="45" t="str">
        <x:v>人工模拟结果，无对应检测报告</x:v>
      </x:c>
    </x:row>
    <x:row r="325">
      <x:c r="A325" s="54" t="str">
        <x:v>SIM-S054</x:v>
      </x:c>
      <x:c r="B325" s="54" t="str">
        <x:v>Ag</x:v>
      </x:c>
      <x:c r="C325" s="45" t="str">
        <x:v>0.53</x:v>
      </x:c>
      <x:c r="D325" s="45" t="n">
        <x:v>0.53</x:v>
      </x:c>
      <x:c r="E325" s="54" t="str">
        <x:v>mg/kg</x:v>
      </x:c>
      <x:c r="F325" s="45" t="n">
        <x:v>0.1</x:v>
      </x:c>
      <x:c r="G325" s="45" t="str">
        <x:v>模拟检测法-Ag</x:v>
      </x:c>
      <x:c r="H325" s="63" t="n">
        <x:v>46299</x:v>
      </x:c>
      <x:c r="I325" s="54" t="str">
        <x:v>SIM-LAB-02</x:v>
      </x:c>
      <x:c r="J325" s="45" t="str">
        <x:v>人工模拟结果，无对应检测报告</x:v>
      </x:c>
    </x:row>
    <x:row r="326">
      <x:c r="A326" s="54" t="str">
        <x:v>SIM-S054</x:v>
      </x:c>
      <x:c r="B326" s="54" t="str">
        <x:v>Cu</x:v>
      </x:c>
      <x:c r="C326" s="45" t="str">
        <x:v>0.0131</x:v>
      </x:c>
      <x:c r="D326" s="45" t="n">
        <x:v>0.0131</x:v>
      </x:c>
      <x:c r="E326" s="54" t="str">
        <x:v>%</x:v>
      </x:c>
      <x:c r="F326" s="45" t="n">
        <x:v>0.001</x:v>
      </x:c>
      <x:c r="G326" s="45" t="str">
        <x:v>模拟检测法-Cu</x:v>
      </x:c>
      <x:c r="H326" s="63" t="n">
        <x:v>46299</x:v>
      </x:c>
      <x:c r="I326" s="54" t="str">
        <x:v>SIM-LAB-02</x:v>
      </x:c>
      <x:c r="J326" s="45" t="str">
        <x:v>人工模拟结果，无对应检测报告</x:v>
      </x:c>
    </x:row>
    <x:row r="327">
      <x:c r="A327" s="54" t="str">
        <x:v>SIM-S054</x:v>
      </x:c>
      <x:c r="B327" s="54" t="str">
        <x:v>Pb</x:v>
      </x:c>
      <x:c r="C327" s="45" t="str">
        <x:v>0.0241</x:v>
      </x:c>
      <x:c r="D327" s="45" t="n">
        <x:v>0.0241</x:v>
      </x:c>
      <x:c r="E327" s="54" t="str">
        <x:v>%</x:v>
      </x:c>
      <x:c r="F327" s="45" t="n">
        <x:v>0.001</x:v>
      </x:c>
      <x:c r="G327" s="45" t="str">
        <x:v>模拟检测法-Pb</x:v>
      </x:c>
      <x:c r="H327" s="63" t="n">
        <x:v>46299</x:v>
      </x:c>
      <x:c r="I327" s="54" t="str">
        <x:v>SIM-LAB-02</x:v>
      </x:c>
      <x:c r="J327" s="45" t="str">
        <x:v>人工模拟结果，无对应检测报告</x:v>
      </x:c>
    </x:row>
    <x:row r="328">
      <x:c r="A328" s="54" t="str">
        <x:v>SIM-S054</x:v>
      </x:c>
      <x:c r="B328" s="54" t="str">
        <x:v>Zn</x:v>
      </x:c>
      <x:c r="C328" s="45" t="str">
        <x:v>0.0695</x:v>
      </x:c>
      <x:c r="D328" s="45" t="n">
        <x:v>0.0695</x:v>
      </x:c>
      <x:c r="E328" s="54" t="str">
        <x:v>%</x:v>
      </x:c>
      <x:c r="F328" s="45" t="n">
        <x:v>0.001</x:v>
      </x:c>
      <x:c r="G328" s="45" t="str">
        <x:v>模拟检测法-Zn</x:v>
      </x:c>
      <x:c r="H328" s="63" t="n">
        <x:v>46299</x:v>
      </x:c>
      <x:c r="I328" s="54" t="str">
        <x:v>SIM-LAB-02</x:v>
      </x:c>
      <x:c r="J328" s="45" t="str">
        <x:v>人工模拟结果，无对应检测报告</x:v>
      </x:c>
    </x:row>
    <x:row r="329">
      <x:c r="A329" s="54" t="str">
        <x:v>SIM-S054</x:v>
      </x:c>
      <x:c r="B329" s="54" t="str">
        <x:v>As</x:v>
      </x:c>
      <x:c r="C329" s="45" t="str">
        <x:v>4.1</x:v>
      </x:c>
      <x:c r="D329" s="45" t="n">
        <x:v>4.1</x:v>
      </x:c>
      <x:c r="E329" s="54" t="str">
        <x:v>mg/kg</x:v>
      </x:c>
      <x:c r="F329" s="45" t="n">
        <x:v>1</x:v>
      </x:c>
      <x:c r="G329" s="45" t="str">
        <x:v>模拟检测法-As</x:v>
      </x:c>
      <x:c r="H329" s="63" t="n">
        <x:v>46299</x:v>
      </x:c>
      <x:c r="I329" s="54" t="str">
        <x:v>SIM-LAB-02</x:v>
      </x:c>
      <x:c r="J329" s="45" t="str">
        <x:v>人工模拟结果，无对应检测报告</x:v>
      </x:c>
    </x:row>
    <x:row r="330">
      <x:c r="A330" s="54" t="str">
        <x:v>SIM-S055</x:v>
      </x:c>
      <x:c r="B330" s="54" t="str">
        <x:v>Au</x:v>
      </x:c>
      <x:c r="C330" s="45" t="str">
        <x:v>0.033</x:v>
      </x:c>
      <x:c r="D330" s="45" t="n">
        <x:v>0.033</x:v>
      </x:c>
      <x:c r="E330" s="54" t="str">
        <x:v>mg/kg</x:v>
      </x:c>
      <x:c r="F330" s="45" t="n">
        <x:v>0.005</x:v>
      </x:c>
      <x:c r="G330" s="45" t="str">
        <x:v>模拟检测法-Au</x:v>
      </x:c>
      <x:c r="H330" s="63" t="n">
        <x:v>46299</x:v>
      </x:c>
      <x:c r="I330" s="54" t="str">
        <x:v>SIM-LAB-02</x:v>
      </x:c>
      <x:c r="J330" s="45" t="str">
        <x:v>人工模拟结果，无对应检测报告</x:v>
      </x:c>
    </x:row>
    <x:row r="331">
      <x:c r="A331" s="54" t="str">
        <x:v>SIM-S055</x:v>
      </x:c>
      <x:c r="B331" s="54" t="str">
        <x:v>Ag</x:v>
      </x:c>
      <x:c r="C331" s="45" t="str">
        <x:v>0.57</x:v>
      </x:c>
      <x:c r="D331" s="45" t="n">
        <x:v>0.57</x:v>
      </x:c>
      <x:c r="E331" s="54" t="str">
        <x:v>mg/kg</x:v>
      </x:c>
      <x:c r="F331" s="45" t="n">
        <x:v>0.1</x:v>
      </x:c>
      <x:c r="G331" s="45" t="str">
        <x:v>模拟检测法-Ag</x:v>
      </x:c>
      <x:c r="H331" s="63" t="n">
        <x:v>46299</x:v>
      </x:c>
      <x:c r="I331" s="54" t="str">
        <x:v>SIM-LAB-02</x:v>
      </x:c>
      <x:c r="J331" s="45" t="str">
        <x:v>人工模拟结果，无对应检测报告</x:v>
      </x:c>
    </x:row>
    <x:row r="332">
      <x:c r="A332" s="54" t="str">
        <x:v>SIM-S055</x:v>
      </x:c>
      <x:c r="B332" s="54" t="str">
        <x:v>Cu</x:v>
      </x:c>
      <x:c r="C332" s="45" t="str">
        <x:v>0.0121</x:v>
      </x:c>
      <x:c r="D332" s="45" t="n">
        <x:v>0.0121</x:v>
      </x:c>
      <x:c r="E332" s="54" t="str">
        <x:v>%</x:v>
      </x:c>
      <x:c r="F332" s="45" t="n">
        <x:v>0.001</x:v>
      </x:c>
      <x:c r="G332" s="45" t="str">
        <x:v>模拟检测法-Cu</x:v>
      </x:c>
      <x:c r="H332" s="63" t="n">
        <x:v>46299</x:v>
      </x:c>
      <x:c r="I332" s="54" t="str">
        <x:v>SIM-LAB-02</x:v>
      </x:c>
      <x:c r="J332" s="45" t="str">
        <x:v>人工模拟结果，无对应检测报告</x:v>
      </x:c>
    </x:row>
    <x:row r="333">
      <x:c r="A333" s="54" t="str">
        <x:v>SIM-S055</x:v>
      </x:c>
      <x:c r="B333" s="54" t="str">
        <x:v>Pb</x:v>
      </x:c>
      <x:c r="C333" s="45" t="str">
        <x:v>0.0261</x:v>
      </x:c>
      <x:c r="D333" s="45" t="n">
        <x:v>0.0261</x:v>
      </x:c>
      <x:c r="E333" s="54" t="str">
        <x:v>%</x:v>
      </x:c>
      <x:c r="F333" s="45" t="n">
        <x:v>0.001</x:v>
      </x:c>
      <x:c r="G333" s="45" t="str">
        <x:v>模拟检测法-Pb</x:v>
      </x:c>
      <x:c r="H333" s="63" t="n">
        <x:v>46299</x:v>
      </x:c>
      <x:c r="I333" s="54" t="str">
        <x:v>SIM-LAB-02</x:v>
      </x:c>
      <x:c r="J333" s="45" t="str">
        <x:v>人工模拟结果，无对应检测报告</x:v>
      </x:c>
    </x:row>
    <x:row r="334">
      <x:c r="A334" s="54" t="str">
        <x:v>SIM-S055</x:v>
      </x:c>
      <x:c r="B334" s="54" t="str">
        <x:v>Zn</x:v>
      </x:c>
      <x:c r="C334" s="45" t="str">
        <x:v>0.0787</x:v>
      </x:c>
      <x:c r="D334" s="45" t="n">
        <x:v>0.0787</x:v>
      </x:c>
      <x:c r="E334" s="54" t="str">
        <x:v>%</x:v>
      </x:c>
      <x:c r="F334" s="45" t="n">
        <x:v>0.001</x:v>
      </x:c>
      <x:c r="G334" s="45" t="str">
        <x:v>模拟检测法-Zn</x:v>
      </x:c>
      <x:c r="H334" s="63" t="n">
        <x:v>46299</x:v>
      </x:c>
      <x:c r="I334" s="54" t="str">
        <x:v>SIM-LAB-02</x:v>
      </x:c>
      <x:c r="J334" s="45" t="str">
        <x:v>人工模拟结果，无对应检测报告</x:v>
      </x:c>
    </x:row>
    <x:row r="335">
      <x:c r="A335" s="54" t="str">
        <x:v>SIM-S055</x:v>
      </x:c>
      <x:c r="B335" s="54" t="str">
        <x:v>As</x:v>
      </x:c>
      <x:c r="C335" s="45" t="str">
        <x:v>4.4</x:v>
      </x:c>
      <x:c r="D335" s="45" t="n">
        <x:v>4.4</x:v>
      </x:c>
      <x:c r="E335" s="54" t="str">
        <x:v>mg/kg</x:v>
      </x:c>
      <x:c r="F335" s="45" t="n">
        <x:v>1</x:v>
      </x:c>
      <x:c r="G335" s="45" t="str">
        <x:v>模拟检测法-As</x:v>
      </x:c>
      <x:c r="H335" s="63" t="n">
        <x:v>46299</x:v>
      </x:c>
      <x:c r="I335" s="54" t="str">
        <x:v>SIM-LAB-02</x:v>
      </x:c>
      <x:c r="J335" s="45" t="str">
        <x:v>人工模拟结果，无对应检测报告</x:v>
      </x:c>
    </x:row>
    <x:row r="336">
      <x:c r="A336" s="54" t="str">
        <x:v>SIM-S056</x:v>
      </x:c>
      <x:c r="B336" s="54" t="str">
        <x:v>Au</x:v>
      </x:c>
      <x:c r="C336" s="45" t="str">
        <x:v>0.025</x:v>
      </x:c>
      <x:c r="D336" s="45" t="n">
        <x:v>0.025</x:v>
      </x:c>
      <x:c r="E336" s="54" t="str">
        <x:v>mg/kg</x:v>
      </x:c>
      <x:c r="F336" s="45" t="n">
        <x:v>0.005</x:v>
      </x:c>
      <x:c r="G336" s="45" t="str">
        <x:v>模拟检测法-Au</x:v>
      </x:c>
      <x:c r="H336" s="63" t="n">
        <x:v>46299</x:v>
      </x:c>
      <x:c r="I336" s="54" t="str">
        <x:v>SIM-LAB-02</x:v>
      </x:c>
      <x:c r="J336" s="45" t="str">
        <x:v>人工模拟结果，无对应检测报告</x:v>
      </x:c>
    </x:row>
    <x:row r="337">
      <x:c r="A337" s="54" t="str">
        <x:v>SIM-S056</x:v>
      </x:c>
      <x:c r="B337" s="54" t="str">
        <x:v>Ag</x:v>
      </x:c>
      <x:c r="C337" s="45" t="str">
        <x:v>0.91</x:v>
      </x:c>
      <x:c r="D337" s="45" t="n">
        <x:v>0.91</x:v>
      </x:c>
      <x:c r="E337" s="54" t="str">
        <x:v>mg/kg</x:v>
      </x:c>
      <x:c r="F337" s="45" t="n">
        <x:v>0.1</x:v>
      </x:c>
      <x:c r="G337" s="45" t="str">
        <x:v>模拟检测法-Ag</x:v>
      </x:c>
      <x:c r="H337" s="63" t="n">
        <x:v>46299</x:v>
      </x:c>
      <x:c r="I337" s="54" t="str">
        <x:v>SIM-LAB-02</x:v>
      </x:c>
      <x:c r="J337" s="45" t="str">
        <x:v>人工模拟结果，无对应检测报告</x:v>
      </x:c>
    </x:row>
    <x:row r="338">
      <x:c r="A338" s="54" t="str">
        <x:v>SIM-S056</x:v>
      </x:c>
      <x:c r="B338" s="54" t="str">
        <x:v>Cu</x:v>
      </x:c>
      <x:c r="C338" s="45" t="str">
        <x:v>0.011</x:v>
      </x:c>
      <x:c r="D338" s="45" t="n">
        <x:v>0.011</x:v>
      </x:c>
      <x:c r="E338" s="54" t="str">
        <x:v>%</x:v>
      </x:c>
      <x:c r="F338" s="45" t="n">
        <x:v>0.001</x:v>
      </x:c>
      <x:c r="G338" s="45" t="str">
        <x:v>模拟检测法-Cu</x:v>
      </x:c>
      <x:c r="H338" s="63" t="n">
        <x:v>46299</x:v>
      </x:c>
      <x:c r="I338" s="54" t="str">
        <x:v>SIM-LAB-02</x:v>
      </x:c>
      <x:c r="J338" s="45" t="str">
        <x:v>人工模拟结果，无对应检测报告</x:v>
      </x:c>
    </x:row>
    <x:row r="339">
      <x:c r="A339" s="54" t="str">
        <x:v>SIM-S056</x:v>
      </x:c>
      <x:c r="B339" s="54" t="str">
        <x:v>Pb</x:v>
      </x:c>
      <x:c r="C339" s="45" t="str">
        <x:v>0.0281</x:v>
      </x:c>
      <x:c r="D339" s="45" t="n">
        <x:v>0.0281</x:v>
      </x:c>
      <x:c r="E339" s="54" t="str">
        <x:v>%</x:v>
      </x:c>
      <x:c r="F339" s="45" t="n">
        <x:v>0.001</x:v>
      </x:c>
      <x:c r="G339" s="45" t="str">
        <x:v>模拟检测法-Pb</x:v>
      </x:c>
      <x:c r="H339" s="63" t="n">
        <x:v>46299</x:v>
      </x:c>
      <x:c r="I339" s="54" t="str">
        <x:v>SIM-LAB-02</x:v>
      </x:c>
      <x:c r="J339" s="45" t="str">
        <x:v>人工模拟结果，无对应检测报告</x:v>
      </x:c>
    </x:row>
    <x:row r="340">
      <x:c r="A340" s="54" t="str">
        <x:v>SIM-S056</x:v>
      </x:c>
      <x:c r="B340" s="54" t="str">
        <x:v>Zn</x:v>
      </x:c>
      <x:c r="C340" s="45" t="str">
        <x:v>0.082</x:v>
      </x:c>
      <x:c r="D340" s="45" t="n">
        <x:v>0.082</x:v>
      </x:c>
      <x:c r="E340" s="54" t="str">
        <x:v>%</x:v>
      </x:c>
      <x:c r="F340" s="45" t="n">
        <x:v>0.001</x:v>
      </x:c>
      <x:c r="G340" s="45" t="str">
        <x:v>模拟检测法-Zn</x:v>
      </x:c>
      <x:c r="H340" s="63" t="n">
        <x:v>46299</x:v>
      </x:c>
      <x:c r="I340" s="54" t="str">
        <x:v>SIM-LAB-02</x:v>
      </x:c>
      <x:c r="J340" s="45" t="str">
        <x:v>人工模拟结果，无对应检测报告</x:v>
      </x:c>
    </x:row>
    <x:row r="341">
      <x:c r="A341" s="54" t="str">
        <x:v>SIM-S056</x:v>
      </x:c>
      <x:c r="B341" s="54" t="str">
        <x:v>As</x:v>
      </x:c>
      <x:c r="C341" s="45" t="str">
        <x:v>4.9</x:v>
      </x:c>
      <x:c r="D341" s="45" t="n">
        <x:v>4.9</x:v>
      </x:c>
      <x:c r="E341" s="54" t="str">
        <x:v>mg/kg</x:v>
      </x:c>
      <x:c r="F341" s="45" t="n">
        <x:v>1</x:v>
      </x:c>
      <x:c r="G341" s="45" t="str">
        <x:v>模拟检测法-As</x:v>
      </x:c>
      <x:c r="H341" s="63" t="n">
        <x:v>46299</x:v>
      </x:c>
      <x:c r="I341" s="54" t="str">
        <x:v>SIM-LAB-02</x:v>
      </x:c>
      <x:c r="J341" s="45" t="str">
        <x:v>人工模拟结果，无对应检测报告</x:v>
      </x:c>
    </x:row>
    <x:row r="342">
      <x:c r="A342" s="54" t="str">
        <x:v>SIM-S057</x:v>
      </x:c>
      <x:c r="B342" s="54" t="str">
        <x:v>Au</x:v>
      </x:c>
      <x:c r="C342" s="45" t="str">
        <x:v>0.034</x:v>
      </x:c>
      <x:c r="D342" s="45" t="n">
        <x:v>0.034</x:v>
      </x:c>
      <x:c r="E342" s="54" t="str">
        <x:v>mg/kg</x:v>
      </x:c>
      <x:c r="F342" s="45" t="n">
        <x:v>0.005</x:v>
      </x:c>
      <x:c r="G342" s="45" t="str">
        <x:v>模拟检测法-Au</x:v>
      </x:c>
      <x:c r="H342" s="63" t="n">
        <x:v>46299</x:v>
      </x:c>
      <x:c r="I342" s="54" t="str">
        <x:v>SIM-LAB-02</x:v>
      </x:c>
      <x:c r="J342" s="45" t="str">
        <x:v>人工模拟结果，无对应检测报告</x:v>
      </x:c>
    </x:row>
    <x:row r="343">
      <x:c r="A343" s="54" t="str">
        <x:v>SIM-S057</x:v>
      </x:c>
      <x:c r="B343" s="54" t="str">
        <x:v>Ag</x:v>
      </x:c>
      <x:c r="C343" s="45" t="str">
        <x:v>1.24</x:v>
      </x:c>
      <x:c r="D343" s="45" t="n">
        <x:v>1.24</x:v>
      </x:c>
      <x:c r="E343" s="54" t="str">
        <x:v>mg/kg</x:v>
      </x:c>
      <x:c r="F343" s="45" t="n">
        <x:v>0.1</x:v>
      </x:c>
      <x:c r="G343" s="45" t="str">
        <x:v>模拟检测法-Ag</x:v>
      </x:c>
      <x:c r="H343" s="63" t="n">
        <x:v>46299</x:v>
      </x:c>
      <x:c r="I343" s="54" t="str">
        <x:v>SIM-LAB-02</x:v>
      </x:c>
      <x:c r="J343" s="45" t="str">
        <x:v>人工模拟结果，无对应检测报告</x:v>
      </x:c>
    </x:row>
    <x:row r="344">
      <x:c r="A344" s="54" t="str">
        <x:v>SIM-S057</x:v>
      </x:c>
      <x:c r="B344" s="54" t="str">
        <x:v>Cu</x:v>
      </x:c>
      <x:c r="C344" s="45" t="str">
        <x:v>0.0098</x:v>
      </x:c>
      <x:c r="D344" s="45" t="n">
        <x:v>0.0098</x:v>
      </x:c>
      <x:c r="E344" s="54" t="str">
        <x:v>%</x:v>
      </x:c>
      <x:c r="F344" s="45" t="n">
        <x:v>0.001</x:v>
      </x:c>
      <x:c r="G344" s="45" t="str">
        <x:v>模拟检测法-Cu</x:v>
      </x:c>
      <x:c r="H344" s="63" t="n">
        <x:v>46299</x:v>
      </x:c>
      <x:c r="I344" s="54" t="str">
        <x:v>SIM-LAB-02</x:v>
      </x:c>
      <x:c r="J344" s="45" t="str">
        <x:v>人工模拟结果，无对应检测报告</x:v>
      </x:c>
    </x:row>
    <x:row r="345">
      <x:c r="A345" s="54" t="str">
        <x:v>SIM-S057</x:v>
      </x:c>
      <x:c r="B345" s="54" t="str">
        <x:v>Pb</x:v>
      </x:c>
      <x:c r="C345" s="45" t="str">
        <x:v>0.0301</x:v>
      </x:c>
      <x:c r="D345" s="45" t="n">
        <x:v>0.0301</x:v>
      </x:c>
      <x:c r="E345" s="54" t="str">
        <x:v>%</x:v>
      </x:c>
      <x:c r="F345" s="45" t="n">
        <x:v>0.001</x:v>
      </x:c>
      <x:c r="G345" s="45" t="str">
        <x:v>模拟检测法-Pb</x:v>
      </x:c>
      <x:c r="H345" s="63" t="n">
        <x:v>46299</x:v>
      </x:c>
      <x:c r="I345" s="54" t="str">
        <x:v>SIM-LAB-02</x:v>
      </x:c>
      <x:c r="J345" s="45" t="str">
        <x:v>人工模拟结果，无对应检测报告</x:v>
      </x:c>
    </x:row>
    <x:row r="346">
      <x:c r="A346" s="54" t="str">
        <x:v>SIM-S057</x:v>
      </x:c>
      <x:c r="B346" s="54" t="str">
        <x:v>Zn</x:v>
      </x:c>
      <x:c r="C346" s="45" t="str">
        <x:v>0.0786</x:v>
      </x:c>
      <x:c r="D346" s="45" t="n">
        <x:v>0.0786</x:v>
      </x:c>
      <x:c r="E346" s="54" t="str">
        <x:v>%</x:v>
      </x:c>
      <x:c r="F346" s="45" t="n">
        <x:v>0.001</x:v>
      </x:c>
      <x:c r="G346" s="45" t="str">
        <x:v>模拟检测法-Zn</x:v>
      </x:c>
      <x:c r="H346" s="63" t="n">
        <x:v>46299</x:v>
      </x:c>
      <x:c r="I346" s="54" t="str">
        <x:v>SIM-LAB-02</x:v>
      </x:c>
      <x:c r="J346" s="45" t="str">
        <x:v>人工模拟结果，无对应检测报告</x:v>
      </x:c>
    </x:row>
    <x:row r="347">
      <x:c r="A347" s="54" t="str">
        <x:v>SIM-S057</x:v>
      </x:c>
      <x:c r="B347" s="54" t="str">
        <x:v>As</x:v>
      </x:c>
      <x:c r="C347" s="45" t="str">
        <x:v>5.6</x:v>
      </x:c>
      <x:c r="D347" s="45" t="n">
        <x:v>5.6</x:v>
      </x:c>
      <x:c r="E347" s="54" t="str">
        <x:v>mg/kg</x:v>
      </x:c>
      <x:c r="F347" s="45" t="n">
        <x:v>1</x:v>
      </x:c>
      <x:c r="G347" s="45" t="str">
        <x:v>模拟检测法-As</x:v>
      </x:c>
      <x:c r="H347" s="63" t="n">
        <x:v>46299</x:v>
      </x:c>
      <x:c r="I347" s="54" t="str">
        <x:v>SIM-LAB-02</x:v>
      </x:c>
      <x:c r="J347" s="45" t="str">
        <x:v>人工模拟结果，无对应检测报告</x:v>
      </x:c>
    </x:row>
    <x:row r="348">
      <x:c r="A348" s="54" t="str">
        <x:v>SIM-S058</x:v>
      </x:c>
      <x:c r="B348" s="54" t="str">
        <x:v>Au</x:v>
      </x:c>
      <x:c r="C348" s="45" t="str">
        <x:v>0.052</x:v>
      </x:c>
      <x:c r="D348" s="45" t="n">
        <x:v>0.052</x:v>
      </x:c>
      <x:c r="E348" s="54" t="str">
        <x:v>mg/kg</x:v>
      </x:c>
      <x:c r="F348" s="45" t="n">
        <x:v>0.005</x:v>
      </x:c>
      <x:c r="G348" s="45" t="str">
        <x:v>模拟检测法-Au</x:v>
      </x:c>
      <x:c r="H348" s="63" t="n">
        <x:v>46299</x:v>
      </x:c>
      <x:c r="I348" s="54" t="str">
        <x:v>SIM-LAB-02</x:v>
      </x:c>
      <x:c r="J348" s="45" t="str">
        <x:v>人工模拟结果，无对应检测报告</x:v>
      </x:c>
    </x:row>
    <x:row r="349">
      <x:c r="A349" s="54" t="str">
        <x:v>SIM-S058</x:v>
      </x:c>
      <x:c r="B349" s="54" t="str">
        <x:v>Ag</x:v>
      </x:c>
      <x:c r="C349" s="45" t="str">
        <x:v>1.27</x:v>
      </x:c>
      <x:c r="D349" s="45" t="n">
        <x:v>1.27</x:v>
      </x:c>
      <x:c r="E349" s="54" t="str">
        <x:v>mg/kg</x:v>
      </x:c>
      <x:c r="F349" s="45" t="n">
        <x:v>0.1</x:v>
      </x:c>
      <x:c r="G349" s="45" t="str">
        <x:v>模拟检测法-Ag</x:v>
      </x:c>
      <x:c r="H349" s="63" t="n">
        <x:v>46299</x:v>
      </x:c>
      <x:c r="I349" s="54" t="str">
        <x:v>SIM-LAB-02</x:v>
      </x:c>
      <x:c r="J349" s="45" t="str">
        <x:v>人工模拟结果，无对应检测报告</x:v>
      </x:c>
    </x:row>
    <x:row r="350">
      <x:c r="A350" s="54" t="str">
        <x:v>SIM-S058</x:v>
      </x:c>
      <x:c r="B350" s="54" t="str">
        <x:v>Cu</x:v>
      </x:c>
      <x:c r="C350" s="45" t="str">
        <x:v>0.0089</x:v>
      </x:c>
      <x:c r="D350" s="45" t="n">
        <x:v>0.0089</x:v>
      </x:c>
      <x:c r="E350" s="54" t="str">
        <x:v>%</x:v>
      </x:c>
      <x:c r="F350" s="45" t="n">
        <x:v>0.001</x:v>
      </x:c>
      <x:c r="G350" s="45" t="str">
        <x:v>模拟检测法-Cu</x:v>
      </x:c>
      <x:c r="H350" s="63" t="n">
        <x:v>46299</x:v>
      </x:c>
      <x:c r="I350" s="54" t="str">
        <x:v>SIM-LAB-02</x:v>
      </x:c>
      <x:c r="J350" s="45" t="str">
        <x:v>人工模拟结果，无对应检测报告</x:v>
      </x:c>
    </x:row>
    <x:row r="351">
      <x:c r="A351" s="54" t="str">
        <x:v>SIM-S058</x:v>
      </x:c>
      <x:c r="B351" s="54" t="str">
        <x:v>Pb</x:v>
      </x:c>
      <x:c r="C351" s="45" t="str">
        <x:v>0.0324</x:v>
      </x:c>
      <x:c r="D351" s="45" t="n">
        <x:v>0.0324</x:v>
      </x:c>
      <x:c r="E351" s="54" t="str">
        <x:v>%</x:v>
      </x:c>
      <x:c r="F351" s="45" t="n">
        <x:v>0.001</x:v>
      </x:c>
      <x:c r="G351" s="45" t="str">
        <x:v>模拟检测法-Pb</x:v>
      </x:c>
      <x:c r="H351" s="63" t="n">
        <x:v>46299</x:v>
      </x:c>
      <x:c r="I351" s="54" t="str">
        <x:v>SIM-LAB-02</x:v>
      </x:c>
      <x:c r="J351" s="45" t="str">
        <x:v>人工模拟结果，无对应检测报告</x:v>
      </x:c>
    </x:row>
    <x:row r="352">
      <x:c r="A352" s="54" t="str">
        <x:v>SIM-S058</x:v>
      </x:c>
      <x:c r="B352" s="54" t="str">
        <x:v>Zn</x:v>
      </x:c>
      <x:c r="C352" s="45" t="str">
        <x:v>0.07</x:v>
      </x:c>
      <x:c r="D352" s="45" t="n">
        <x:v>0.07</x:v>
      </x:c>
      <x:c r="E352" s="54" t="str">
        <x:v>%</x:v>
      </x:c>
      <x:c r="F352" s="45" t="n">
        <x:v>0.001</x:v>
      </x:c>
      <x:c r="G352" s="45" t="str">
        <x:v>模拟检测法-Zn</x:v>
      </x:c>
      <x:c r="H352" s="63" t="n">
        <x:v>46299</x:v>
      </x:c>
      <x:c r="I352" s="54" t="str">
        <x:v>SIM-LAB-02</x:v>
      </x:c>
      <x:c r="J352" s="45" t="str">
        <x:v>人工模拟结果，无对应检测报告</x:v>
      </x:c>
    </x:row>
    <x:row r="353">
      <x:c r="A353" s="54" t="str">
        <x:v>SIM-S058</x:v>
      </x:c>
      <x:c r="B353" s="54" t="str">
        <x:v>As</x:v>
      </x:c>
      <x:c r="C353" s="45" t="str">
        <x:v>6.5</x:v>
      </x:c>
      <x:c r="D353" s="45" t="n">
        <x:v>6.5</x:v>
      </x:c>
      <x:c r="E353" s="54" t="str">
        <x:v>mg/kg</x:v>
      </x:c>
      <x:c r="F353" s="45" t="n">
        <x:v>1</x:v>
      </x:c>
      <x:c r="G353" s="45" t="str">
        <x:v>模拟检测法-As</x:v>
      </x:c>
      <x:c r="H353" s="63" t="n">
        <x:v>46299</x:v>
      </x:c>
      <x:c r="I353" s="54" t="str">
        <x:v>SIM-LAB-02</x:v>
      </x:c>
      <x:c r="J353" s="45" t="str">
        <x:v>人工模拟结果，无对应检测报告</x:v>
      </x:c>
    </x:row>
    <x:row r="354">
      <x:c r="A354" s="54" t="str">
        <x:v>SIM-S059</x:v>
      </x:c>
      <x:c r="B354" s="54" t="str">
        <x:v>Au</x:v>
      </x:c>
      <x:c r="C354" s="45" t="str">
        <x:v>0.064</x:v>
      </x:c>
      <x:c r="D354" s="45" t="n">
        <x:v>0.064</x:v>
      </x:c>
      <x:c r="E354" s="54" t="str">
        <x:v>mg/kg</x:v>
      </x:c>
      <x:c r="F354" s="45" t="n">
        <x:v>0.005</x:v>
      </x:c>
      <x:c r="G354" s="45" t="str">
        <x:v>模拟检测法-Au</x:v>
      </x:c>
      <x:c r="H354" s="63" t="n">
        <x:v>46299</x:v>
      </x:c>
      <x:c r="I354" s="54" t="str">
        <x:v>SIM-LAB-02</x:v>
      </x:c>
      <x:c r="J354" s="45" t="str">
        <x:v>人工模拟结果，无对应检测报告</x:v>
      </x:c>
    </x:row>
    <x:row r="355">
      <x:c r="A355" s="54" t="str">
        <x:v>SIM-S059</x:v>
      </x:c>
      <x:c r="B355" s="54" t="str">
        <x:v>Ag</x:v>
      </x:c>
      <x:c r="C355" s="45" t="str">
        <x:v>0.98</x:v>
      </x:c>
      <x:c r="D355" s="45" t="n">
        <x:v>0.98</x:v>
      </x:c>
      <x:c r="E355" s="54" t="str">
        <x:v>mg/kg</x:v>
      </x:c>
      <x:c r="F355" s="45" t="n">
        <x:v>0.1</x:v>
      </x:c>
      <x:c r="G355" s="45" t="str">
        <x:v>模拟检测法-Ag</x:v>
      </x:c>
      <x:c r="H355" s="63" t="n">
        <x:v>46299</x:v>
      </x:c>
      <x:c r="I355" s="54" t="str">
        <x:v>SIM-LAB-02</x:v>
      </x:c>
      <x:c r="J355" s="45" t="str">
        <x:v>人工模拟结果，无对应检测报告</x:v>
      </x:c>
    </x:row>
    <x:row r="356">
      <x:c r="A356" s="54" t="str">
        <x:v>SIM-S059</x:v>
      </x:c>
      <x:c r="B356" s="54" t="str">
        <x:v>Cu</x:v>
      </x:c>
      <x:c r="C356" s="45" t="str">
        <x:v>0.0086</x:v>
      </x:c>
      <x:c r="D356" s="45" t="n">
        <x:v>0.0086</x:v>
      </x:c>
      <x:c r="E356" s="54" t="str">
        <x:v>%</x:v>
      </x:c>
      <x:c r="F356" s="45" t="n">
        <x:v>0.001</x:v>
      </x:c>
      <x:c r="G356" s="45" t="str">
        <x:v>模拟检测法-Cu</x:v>
      </x:c>
      <x:c r="H356" s="63" t="n">
        <x:v>46299</x:v>
      </x:c>
      <x:c r="I356" s="54" t="str">
        <x:v>SIM-LAB-02</x:v>
      </x:c>
      <x:c r="J356" s="45" t="str">
        <x:v>人工模拟结果，无对应检测报告</x:v>
      </x:c>
    </x:row>
    <x:row r="357">
      <x:c r="A357" s="54" t="str">
        <x:v>SIM-S059</x:v>
      </x:c>
      <x:c r="B357" s="54" t="str">
        <x:v>Pb</x:v>
      </x:c>
      <x:c r="C357" s="45" t="str">
        <x:v>0.0355</x:v>
      </x:c>
      <x:c r="D357" s="45" t="n">
        <x:v>0.0355</x:v>
      </x:c>
      <x:c r="E357" s="54" t="str">
        <x:v>%</x:v>
      </x:c>
      <x:c r="F357" s="45" t="n">
        <x:v>0.001</x:v>
      </x:c>
      <x:c r="G357" s="45" t="str">
        <x:v>模拟检测法-Pb</x:v>
      </x:c>
      <x:c r="H357" s="63" t="n">
        <x:v>46299</x:v>
      </x:c>
      <x:c r="I357" s="54" t="str">
        <x:v>SIM-LAB-02</x:v>
      </x:c>
      <x:c r="J357" s="45" t="str">
        <x:v>人工模拟结果，无对应检测报告</x:v>
      </x:c>
    </x:row>
    <x:row r="358">
      <x:c r="A358" s="54" t="str">
        <x:v>SIM-S059</x:v>
      </x:c>
      <x:c r="B358" s="54" t="str">
        <x:v>Zn</x:v>
      </x:c>
      <x:c r="C358" s="45" t="str">
        <x:v>0.0609</x:v>
      </x:c>
      <x:c r="D358" s="45" t="n">
        <x:v>0.0609</x:v>
      </x:c>
      <x:c r="E358" s="54" t="str">
        <x:v>%</x:v>
      </x:c>
      <x:c r="F358" s="45" t="n">
        <x:v>0.001</x:v>
      </x:c>
      <x:c r="G358" s="45" t="str">
        <x:v>模拟检测法-Zn</x:v>
      </x:c>
      <x:c r="H358" s="63" t="n">
        <x:v>46299</x:v>
      </x:c>
      <x:c r="I358" s="54" t="str">
        <x:v>SIM-LAB-02</x:v>
      </x:c>
      <x:c r="J358" s="45" t="str">
        <x:v>人工模拟结果，无对应检测报告</x:v>
      </x:c>
    </x:row>
    <x:row r="359">
      <x:c r="A359" s="54" t="str">
        <x:v>SIM-S059</x:v>
      </x:c>
      <x:c r="B359" s="54" t="str">
        <x:v>As</x:v>
      </x:c>
      <x:c r="C359" s="45" t="str">
        <x:v>7.5</x:v>
      </x:c>
      <x:c r="D359" s="45" t="n">
        <x:v>7.5</x:v>
      </x:c>
      <x:c r="E359" s="54" t="str">
        <x:v>mg/kg</x:v>
      </x:c>
      <x:c r="F359" s="45" t="n">
        <x:v>1</x:v>
      </x:c>
      <x:c r="G359" s="45" t="str">
        <x:v>模拟检测法-As</x:v>
      </x:c>
      <x:c r="H359" s="63" t="n">
        <x:v>46299</x:v>
      </x:c>
      <x:c r="I359" s="54" t="str">
        <x:v>SIM-LAB-02</x:v>
      </x:c>
      <x:c r="J359" s="45" t="str">
        <x:v>人工模拟结果，无对应检测报告</x:v>
      </x:c>
    </x:row>
    <x:row r="360">
      <x:c r="A360" s="54" t="str">
        <x:v>SIM-S060</x:v>
      </x:c>
      <x:c r="B360" s="54" t="str">
        <x:v>Au</x:v>
      </x:c>
      <x:c r="C360" s="45" t="str">
        <x:v>0.065</x:v>
      </x:c>
      <x:c r="D360" s="45" t="n">
        <x:v>0.065</x:v>
      </x:c>
      <x:c r="E360" s="54" t="str">
        <x:v>mg/kg</x:v>
      </x:c>
      <x:c r="F360" s="45" t="n">
        <x:v>0.005</x:v>
      </x:c>
      <x:c r="G360" s="45" t="str">
        <x:v>模拟检测法-Au</x:v>
      </x:c>
      <x:c r="H360" s="63" t="n">
        <x:v>46299</x:v>
      </x:c>
      <x:c r="I360" s="54" t="str">
        <x:v>SIM-LAB-02</x:v>
      </x:c>
      <x:c r="J360" s="45" t="str">
        <x:v>人工模拟结果，无对应检测报告</x:v>
      </x:c>
    </x:row>
    <x:row r="361">
      <x:c r="A361" s="54" t="str">
        <x:v>SIM-S060</x:v>
      </x:c>
      <x:c r="B361" s="54" t="str">
        <x:v>Ag</x:v>
      </x:c>
      <x:c r="C361" s="45" t="str">
        <x:v>0.68</x:v>
      </x:c>
      <x:c r="D361" s="45" t="n">
        <x:v>0.68</x:v>
      </x:c>
      <x:c r="E361" s="54" t="str">
        <x:v>mg/kg</x:v>
      </x:c>
      <x:c r="F361" s="45" t="n">
        <x:v>0.1</x:v>
      </x:c>
      <x:c r="G361" s="45" t="str">
        <x:v>模拟检测法-Ag</x:v>
      </x:c>
      <x:c r="H361" s="63" t="n">
        <x:v>46299</x:v>
      </x:c>
      <x:c r="I361" s="54" t="str">
        <x:v>SIM-LAB-02</x:v>
      </x:c>
      <x:c r="J361" s="45" t="str">
        <x:v>人工模拟结果，无对应检测报告</x:v>
      </x:c>
    </x:row>
    <x:row r="362">
      <x:c r="A362" s="54" t="str">
        <x:v>SIM-S060</x:v>
      </x:c>
      <x:c r="B362" s="54" t="str">
        <x:v>Cu</x:v>
      </x:c>
      <x:c r="C362" s="45" t="str">
        <x:v>0.0095</x:v>
      </x:c>
      <x:c r="D362" s="45" t="n">
        <x:v>0.0095</x:v>
      </x:c>
      <x:c r="E362" s="54" t="str">
        <x:v>%</x:v>
      </x:c>
      <x:c r="F362" s="45" t="n">
        <x:v>0.001</x:v>
      </x:c>
      <x:c r="G362" s="45" t="str">
        <x:v>模拟检测法-Cu</x:v>
      </x:c>
      <x:c r="H362" s="63" t="n">
        <x:v>46299</x:v>
      </x:c>
      <x:c r="I362" s="54" t="str">
        <x:v>SIM-LAB-02</x:v>
      </x:c>
      <x:c r="J362" s="45" t="str">
        <x:v>人工模拟结果，无对应检测报告</x:v>
      </x:c>
    </x:row>
    <x:row r="363">
      <x:c r="A363" s="54" t="str">
        <x:v>SIM-S060</x:v>
      </x:c>
      <x:c r="B363" s="54" t="str">
        <x:v>Pb</x:v>
      </x:c>
      <x:c r="C363" s="45" t="str">
        <x:v>0.0414</x:v>
      </x:c>
      <x:c r="D363" s="45" t="n">
        <x:v>0.0414</x:v>
      </x:c>
      <x:c r="E363" s="54" t="str">
        <x:v>%</x:v>
      </x:c>
      <x:c r="F363" s="45" t="n">
        <x:v>0.001</x:v>
      </x:c>
      <x:c r="G363" s="45" t="str">
        <x:v>模拟检测法-Pb</x:v>
      </x:c>
      <x:c r="H363" s="63" t="n">
        <x:v>46299</x:v>
      </x:c>
      <x:c r="I363" s="54" t="str">
        <x:v>SIM-LAB-02</x:v>
      </x:c>
      <x:c r="J363" s="45" t="str">
        <x:v>人工模拟结果，无对应检测报告</x:v>
      </x:c>
    </x:row>
    <x:row r="364">
      <x:c r="A364" s="54" t="str">
        <x:v>SIM-S060</x:v>
      </x:c>
      <x:c r="B364" s="54" t="str">
        <x:v>Zn</x:v>
      </x:c>
      <x:c r="C364" s="45" t="str">
        <x:v>0.0595</x:v>
      </x:c>
      <x:c r="D364" s="45" t="n">
        <x:v>0.0595</x:v>
      </x:c>
      <x:c r="E364" s="54" t="str">
        <x:v>%</x:v>
      </x:c>
      <x:c r="F364" s="45" t="n">
        <x:v>0.001</x:v>
      </x:c>
      <x:c r="G364" s="45" t="str">
        <x:v>模拟检测法-Zn</x:v>
      </x:c>
      <x:c r="H364" s="63" t="n">
        <x:v>46299</x:v>
      </x:c>
      <x:c r="I364" s="54" t="str">
        <x:v>SIM-LAB-02</x:v>
      </x:c>
      <x:c r="J364" s="45" t="str">
        <x:v>人工模拟结果，无对应检测报告</x:v>
      </x:c>
    </x:row>
    <x:row r="365">
      <x:c r="A365" s="54" t="str">
        <x:v>SIM-S060</x:v>
      </x:c>
      <x:c r="B365" s="54" t="str">
        <x:v>As</x:v>
      </x:c>
      <x:c r="C365" s="45" t="str">
        <x:v>8.7</x:v>
      </x:c>
      <x:c r="D365" s="45" t="n">
        <x:v>8.7</x:v>
      </x:c>
      <x:c r="E365" s="54" t="str">
        <x:v>mg/kg</x:v>
      </x:c>
      <x:c r="F365" s="45" t="n">
        <x:v>1</x:v>
      </x:c>
      <x:c r="G365" s="45" t="str">
        <x:v>模拟检测法-As</x:v>
      </x:c>
      <x:c r="H365" s="63" t="n">
        <x:v>46299</x:v>
      </x:c>
      <x:c r="I365" s="54" t="str">
        <x:v>SIM-LAB-02</x:v>
      </x:c>
      <x:c r="J365" s="45" t="str">
        <x:v>人工模拟结果，无对应检测报告</x:v>
      </x:c>
    </x:row>
    <x:row r="366">
      <x:c r="A366" s="54" t="str">
        <x:v>SIM-S061</x:v>
      </x:c>
      <x:c r="B366" s="54" t="str">
        <x:v>Au</x:v>
      </x:c>
      <x:c r="C366" s="45" t="str">
        <x:v>0.07</x:v>
      </x:c>
      <x:c r="D366" s="45" t="n">
        <x:v>0.07</x:v>
      </x:c>
      <x:c r="E366" s="54" t="str">
        <x:v>mg/kg</x:v>
      </x:c>
      <x:c r="F366" s="45" t="n">
        <x:v>0.005</x:v>
      </x:c>
      <x:c r="G366" s="45" t="str">
        <x:v>模拟检测法-Au</x:v>
      </x:c>
      <x:c r="H366" s="63" t="n">
        <x:v>46300</x:v>
      </x:c>
      <x:c r="I366" s="54" t="str">
        <x:v>SIM-LAB-03</x:v>
      </x:c>
      <x:c r="J366" s="45" t="str">
        <x:v>人工模拟结果，无对应检测报告</x:v>
      </x:c>
    </x:row>
    <x:row r="367">
      <x:c r="A367" s="54" t="str">
        <x:v>SIM-S061</x:v>
      </x:c>
      <x:c r="B367" s="54" t="str">
        <x:v>Ag</x:v>
      </x:c>
      <x:c r="C367" s="45" t="str">
        <x:v>0.8</x:v>
      </x:c>
      <x:c r="D367" s="45" t="n">
        <x:v>0.8</x:v>
      </x:c>
      <x:c r="E367" s="54" t="str">
        <x:v>mg/kg</x:v>
      </x:c>
      <x:c r="F367" s="45" t="n">
        <x:v>0.1</x:v>
      </x:c>
      <x:c r="G367" s="45" t="str">
        <x:v>模拟检测法-Ag</x:v>
      </x:c>
      <x:c r="H367" s="63" t="n">
        <x:v>46300</x:v>
      </x:c>
      <x:c r="I367" s="54" t="str">
        <x:v>SIM-LAB-03</x:v>
      </x:c>
      <x:c r="J367" s="45" t="str">
        <x:v>人工模拟结果，无对应检测报告</x:v>
      </x:c>
    </x:row>
    <x:row r="368">
      <x:c r="A368" s="54" t="str">
        <x:v>SIM-S061</x:v>
      </x:c>
      <x:c r="B368" s="54" t="str">
        <x:v>Cu</x:v>
      </x:c>
      <x:c r="C368" s="45" t="str">
        <x:v>0.0127</x:v>
      </x:c>
      <x:c r="D368" s="45" t="n">
        <x:v>0.0127</x:v>
      </x:c>
      <x:c r="E368" s="54" t="str">
        <x:v>%</x:v>
      </x:c>
      <x:c r="F368" s="45" t="n">
        <x:v>0.001</x:v>
      </x:c>
      <x:c r="G368" s="45" t="str">
        <x:v>模拟检测法-Cu</x:v>
      </x:c>
      <x:c r="H368" s="63" t="n">
        <x:v>46300</x:v>
      </x:c>
      <x:c r="I368" s="54" t="str">
        <x:v>SIM-LAB-03</x:v>
      </x:c>
      <x:c r="J368" s="45" t="str">
        <x:v>人工模拟结果，无对应检测报告</x:v>
      </x:c>
    </x:row>
    <x:row r="369">
      <x:c r="A369" s="54" t="str">
        <x:v>SIM-S061</x:v>
      </x:c>
      <x:c r="B369" s="54" t="str">
        <x:v>Pb</x:v>
      </x:c>
      <x:c r="C369" s="45" t="str">
        <x:v>0.055</x:v>
      </x:c>
      <x:c r="D369" s="45" t="n">
        <x:v>0.055</x:v>
      </x:c>
      <x:c r="E369" s="54" t="str">
        <x:v>%</x:v>
      </x:c>
      <x:c r="F369" s="45" t="n">
        <x:v>0.001</x:v>
      </x:c>
      <x:c r="G369" s="45" t="str">
        <x:v>模拟检测法-Pb</x:v>
      </x:c>
      <x:c r="H369" s="63" t="n">
        <x:v>46300</x:v>
      </x:c>
      <x:c r="I369" s="54" t="str">
        <x:v>SIM-LAB-03</x:v>
      </x:c>
      <x:c r="J369" s="45" t="str">
        <x:v>人工模拟结果，无对应检测报告</x:v>
      </x:c>
    </x:row>
    <x:row r="370">
      <x:c r="A370" s="54" t="str">
        <x:v>SIM-S061</x:v>
      </x:c>
      <x:c r="B370" s="54" t="str">
        <x:v>Zn</x:v>
      </x:c>
      <x:c r="C370" s="45" t="str">
        <x:v>0.0793</x:v>
      </x:c>
      <x:c r="D370" s="45" t="n">
        <x:v>0.0793</x:v>
      </x:c>
      <x:c r="E370" s="54" t="str">
        <x:v>%</x:v>
      </x:c>
      <x:c r="F370" s="45" t="n">
        <x:v>0.001</x:v>
      </x:c>
      <x:c r="G370" s="45" t="str">
        <x:v>模拟检测法-Zn</x:v>
      </x:c>
      <x:c r="H370" s="63" t="n">
        <x:v>46300</x:v>
      </x:c>
      <x:c r="I370" s="54" t="str">
        <x:v>SIM-LAB-03</x:v>
      </x:c>
      <x:c r="J370" s="45" t="str">
        <x:v>人工模拟结果，无对应检测报告</x:v>
      </x:c>
    </x:row>
    <x:row r="371">
      <x:c r="A371" s="54" t="str">
        <x:v>SIM-S061</x:v>
      </x:c>
      <x:c r="B371" s="54" t="str">
        <x:v>As</x:v>
      </x:c>
      <x:c r="C371" s="45" t="str">
        <x:v>10.5</x:v>
      </x:c>
      <x:c r="D371" s="45" t="n">
        <x:v>10.5</x:v>
      </x:c>
      <x:c r="E371" s="54" t="str">
        <x:v>mg/kg</x:v>
      </x:c>
      <x:c r="F371" s="45" t="n">
        <x:v>1</x:v>
      </x:c>
      <x:c r="G371" s="45" t="str">
        <x:v>模拟检测法-As</x:v>
      </x:c>
      <x:c r="H371" s="63" t="n">
        <x:v>46300</x:v>
      </x:c>
      <x:c r="I371" s="54" t="str">
        <x:v>SIM-LAB-03</x:v>
      </x:c>
      <x:c r="J371" s="45" t="str">
        <x:v>人工模拟结果，无对应检测报告</x:v>
      </x:c>
    </x:row>
    <x:row r="372">
      <x:c r="A372" s="54" t="str">
        <x:v>SIM-S062</x:v>
      </x:c>
      <x:c r="B372" s="54" t="str">
        <x:v>Au</x:v>
      </x:c>
      <x:c r="C372" s="45" t="str">
        <x:v>0.111</x:v>
      </x:c>
      <x:c r="D372" s="45" t="n">
        <x:v>0.111</x:v>
      </x:c>
      <x:c r="E372" s="54" t="str">
        <x:v>mg/kg</x:v>
      </x:c>
      <x:c r="F372" s="45" t="n">
        <x:v>0.005</x:v>
      </x:c>
      <x:c r="G372" s="45" t="str">
        <x:v>模拟检测法-Au</x:v>
      </x:c>
      <x:c r="H372" s="63" t="n">
        <x:v>46300</x:v>
      </x:c>
      <x:c r="I372" s="54" t="str">
        <x:v>SIM-LAB-03</x:v>
      </x:c>
      <x:c r="J372" s="45" t="str">
        <x:v>人工模拟结果，无对应检测报告</x:v>
      </x:c>
    </x:row>
    <x:row r="373">
      <x:c r="A373" s="54" t="str">
        <x:v>SIM-S062</x:v>
      </x:c>
      <x:c r="B373" s="54" t="str">
        <x:v>Ag</x:v>
      </x:c>
      <x:c r="C373" s="45" t="str">
        <x:v>1.53</x:v>
      </x:c>
      <x:c r="D373" s="45" t="n">
        <x:v>1.53</x:v>
      </x:c>
      <x:c r="E373" s="54" t="str">
        <x:v>mg/kg</x:v>
      </x:c>
      <x:c r="F373" s="45" t="n">
        <x:v>0.1</x:v>
      </x:c>
      <x:c r="G373" s="45" t="str">
        <x:v>模拟检测法-Ag</x:v>
      </x:c>
      <x:c r="H373" s="63" t="n">
        <x:v>46300</x:v>
      </x:c>
      <x:c r="I373" s="54" t="str">
        <x:v>SIM-LAB-03</x:v>
      </x:c>
      <x:c r="J373" s="45" t="str">
        <x:v>人工模拟结果，无对应检测报告</x:v>
      </x:c>
    </x:row>
    <x:row r="374">
      <x:c r="A374" s="54" t="str">
        <x:v>SIM-S062</x:v>
      </x:c>
      <x:c r="B374" s="54" t="str">
        <x:v>Cu</x:v>
      </x:c>
      <x:c r="C374" s="45" t="str">
        <x:v>0.0206</x:v>
      </x:c>
      <x:c r="D374" s="45" t="n">
        <x:v>0.0206</x:v>
      </x:c>
      <x:c r="E374" s="54" t="str">
        <x:v>%</x:v>
      </x:c>
      <x:c r="F374" s="45" t="n">
        <x:v>0.001</x:v>
      </x:c>
      <x:c r="G374" s="45" t="str">
        <x:v>模拟检测法-Cu</x:v>
      </x:c>
      <x:c r="H374" s="63" t="n">
        <x:v>46300</x:v>
      </x:c>
      <x:c r="I374" s="54" t="str">
        <x:v>SIM-LAB-03</x:v>
      </x:c>
      <x:c r="J374" s="45" t="str">
        <x:v>人工模拟结果，无对应检测报告</x:v>
      </x:c>
    </x:row>
    <x:row r="375">
      <x:c r="A375" s="54" t="str">
        <x:v>SIM-S062</x:v>
      </x:c>
      <x:c r="B375" s="54" t="str">
        <x:v>Pb</x:v>
      </x:c>
      <x:c r="C375" s="45" t="str">
        <x:v>0.0864</x:v>
      </x:c>
      <x:c r="D375" s="45" t="n">
        <x:v>0.0864</x:v>
      </x:c>
      <x:c r="E375" s="54" t="str">
        <x:v>%</x:v>
      </x:c>
      <x:c r="F375" s="45" t="n">
        <x:v>0.001</x:v>
      </x:c>
      <x:c r="G375" s="45" t="str">
        <x:v>模拟检测法-Pb</x:v>
      </x:c>
      <x:c r="H375" s="63" t="n">
        <x:v>46300</x:v>
      </x:c>
      <x:c r="I375" s="54" t="str">
        <x:v>SIM-LAB-03</x:v>
      </x:c>
      <x:c r="J375" s="45" t="str">
        <x:v>人工模拟结果，无对应检测报告</x:v>
      </x:c>
    </x:row>
    <x:row r="376">
      <x:c r="A376" s="54" t="str">
        <x:v>SIM-S062</x:v>
      </x:c>
      <x:c r="B376" s="54" t="str">
        <x:v>Zn</x:v>
      </x:c>
      <x:c r="C376" s="45" t="str">
        <x:v>0.1423</x:v>
      </x:c>
      <x:c r="D376" s="45" t="n">
        <x:v>0.1423</x:v>
      </x:c>
      <x:c r="E376" s="54" t="str">
        <x:v>%</x:v>
      </x:c>
      <x:c r="F376" s="45" t="n">
        <x:v>0.001</x:v>
      </x:c>
      <x:c r="G376" s="45" t="str">
        <x:v>模拟检测法-Zn</x:v>
      </x:c>
      <x:c r="H376" s="63" t="n">
        <x:v>46300</x:v>
      </x:c>
      <x:c r="I376" s="54" t="str">
        <x:v>SIM-LAB-03</x:v>
      </x:c>
      <x:c r="J376" s="45" t="str">
        <x:v>人工模拟结果，无对应检测报告</x:v>
      </x:c>
    </x:row>
    <x:row r="377">
      <x:c r="A377" s="54" t="str">
        <x:v>SIM-S062</x:v>
      </x:c>
      <x:c r="B377" s="54" t="str">
        <x:v>As</x:v>
      </x:c>
      <x:c r="C377" s="45" t="str">
        <x:v>13.5</x:v>
      </x:c>
      <x:c r="D377" s="45" t="n">
        <x:v>13.5</x:v>
      </x:c>
      <x:c r="E377" s="54" t="str">
        <x:v>mg/kg</x:v>
      </x:c>
      <x:c r="F377" s="45" t="n">
        <x:v>1</x:v>
      </x:c>
      <x:c r="G377" s="45" t="str">
        <x:v>模拟检测法-As</x:v>
      </x:c>
      <x:c r="H377" s="63" t="n">
        <x:v>46300</x:v>
      </x:c>
      <x:c r="I377" s="54" t="str">
        <x:v>SIM-LAB-03</x:v>
      </x:c>
      <x:c r="J377" s="45" t="str">
        <x:v>人工模拟结果，无对应检测报告</x:v>
      </x:c>
    </x:row>
    <x:row r="378">
      <x:c r="A378" s="54" t="str">
        <x:v>SIM-S063</x:v>
      </x:c>
      <x:c r="B378" s="54" t="str">
        <x:v>Au</x:v>
      </x:c>
      <x:c r="C378" s="45" t="str">
        <x:v>0.231</x:v>
      </x:c>
      <x:c r="D378" s="45" t="n">
        <x:v>0.231</x:v>
      </x:c>
      <x:c r="E378" s="54" t="str">
        <x:v>mg/kg</x:v>
      </x:c>
      <x:c r="F378" s="45" t="n">
        <x:v>0.005</x:v>
      </x:c>
      <x:c r="G378" s="45" t="str">
        <x:v>模拟检测法-Au</x:v>
      </x:c>
      <x:c r="H378" s="63" t="n">
        <x:v>46300</x:v>
      </x:c>
      <x:c r="I378" s="54" t="str">
        <x:v>SIM-LAB-03</x:v>
      </x:c>
      <x:c r="J378" s="45" t="str">
        <x:v>人工模拟结果，无对应检测报告</x:v>
      </x:c>
    </x:row>
    <x:row r="379">
      <x:c r="A379" s="54" t="str">
        <x:v>SIM-S063</x:v>
      </x:c>
      <x:c r="B379" s="54" t="str">
        <x:v>Ag</x:v>
      </x:c>
      <x:c r="C379" s="45" t="str">
        <x:v>2.9</x:v>
      </x:c>
      <x:c r="D379" s="45" t="n">
        <x:v>2.9</x:v>
      </x:c>
      <x:c r="E379" s="54" t="str">
        <x:v>mg/kg</x:v>
      </x:c>
      <x:c r="F379" s="45" t="n">
        <x:v>0.1</x:v>
      </x:c>
      <x:c r="G379" s="45" t="str">
        <x:v>模拟检测法-Ag</x:v>
      </x:c>
      <x:c r="H379" s="63" t="n">
        <x:v>46300</x:v>
      </x:c>
      <x:c r="I379" s="54" t="str">
        <x:v>SIM-LAB-03</x:v>
      </x:c>
      <x:c r="J379" s="45" t="str">
        <x:v>人工模拟结果，无对应检测报告</x:v>
      </x:c>
    </x:row>
    <x:row r="380">
      <x:c r="A380" s="54" t="str">
        <x:v>SIM-S063</x:v>
      </x:c>
      <x:c r="B380" s="54" t="str">
        <x:v>Cu</x:v>
      </x:c>
      <x:c r="C380" s="45" t="str">
        <x:v>0.0374</x:v>
      </x:c>
      <x:c r="D380" s="45" t="n">
        <x:v>0.0374</x:v>
      </x:c>
      <x:c r="E380" s="54" t="str">
        <x:v>%</x:v>
      </x:c>
      <x:c r="F380" s="45" t="n">
        <x:v>0.001</x:v>
      </x:c>
      <x:c r="G380" s="45" t="str">
        <x:v>模拟检测法-Cu</x:v>
      </x:c>
      <x:c r="H380" s="63" t="n">
        <x:v>46300</x:v>
      </x:c>
      <x:c r="I380" s="54" t="str">
        <x:v>SIM-LAB-03</x:v>
      </x:c>
      <x:c r="J380" s="45" t="str">
        <x:v>人工模拟结果，无对应检测报告</x:v>
      </x:c>
    </x:row>
    <x:row r="381">
      <x:c r="A381" s="54" t="str">
        <x:v>SIM-S063</x:v>
      </x:c>
      <x:c r="B381" s="54" t="str">
        <x:v>Pb</x:v>
      </x:c>
      <x:c r="C381" s="45" t="str">
        <x:v>0.153</x:v>
      </x:c>
      <x:c r="D381" s="45" t="n">
        <x:v>0.153</x:v>
      </x:c>
      <x:c r="E381" s="54" t="str">
        <x:v>%</x:v>
      </x:c>
      <x:c r="F381" s="45" t="n">
        <x:v>0.001</x:v>
      </x:c>
      <x:c r="G381" s="45" t="str">
        <x:v>模拟检测法-Pb</x:v>
      </x:c>
      <x:c r="H381" s="63" t="n">
        <x:v>46300</x:v>
      </x:c>
      <x:c r="I381" s="54" t="str">
        <x:v>SIM-LAB-03</x:v>
      </x:c>
      <x:c r="J381" s="45" t="str">
        <x:v>人工模拟结果，无对应检测报告</x:v>
      </x:c>
    </x:row>
    <x:row r="382">
      <x:c r="A382" s="54" t="str">
        <x:v>SIM-S063</x:v>
      </x:c>
      <x:c r="B382" s="54" t="str">
        <x:v>Zn</x:v>
      </x:c>
      <x:c r="C382" s="45" t="str">
        <x:v>0.2827</x:v>
      </x:c>
      <x:c r="D382" s="45" t="n">
        <x:v>0.2827</x:v>
      </x:c>
      <x:c r="E382" s="54" t="str">
        <x:v>%</x:v>
      </x:c>
      <x:c r="F382" s="45" t="n">
        <x:v>0.001</x:v>
      </x:c>
      <x:c r="G382" s="45" t="str">
        <x:v>模拟检测法-Zn</x:v>
      </x:c>
      <x:c r="H382" s="63" t="n">
        <x:v>46300</x:v>
      </x:c>
      <x:c r="I382" s="54" t="str">
        <x:v>SIM-LAB-03</x:v>
      </x:c>
      <x:c r="J382" s="45" t="str">
        <x:v>人工模拟结果，无对应检测报告</x:v>
      </x:c>
    </x:row>
    <x:row r="383">
      <x:c r="A383" s="54" t="str">
        <x:v>SIM-S063</x:v>
      </x:c>
      <x:c r="B383" s="54" t="str">
        <x:v>As</x:v>
      </x:c>
      <x:c r="C383" s="45" t="str">
        <x:v>未检出</x:v>
      </x:c>
      <x:c r="D383" s="45"/>
      <x:c r="E383" s="54" t="str">
        <x:v>mg/kg</x:v>
      </x:c>
      <x:c r="F383" s="45" t="n">
        <x:v>1</x:v>
      </x:c>
      <x:c r="G383" s="45" t="str">
        <x:v>模拟检测法-As</x:v>
      </x:c>
      <x:c r="H383" s="63" t="n">
        <x:v>46300</x:v>
      </x:c>
      <x:c r="I383" s="54" t="str">
        <x:v>SIM-LAB-03</x:v>
      </x:c>
      <x:c r="J383" s="45" t="str">
        <x:v>人工模拟结果，无对应检测报告</x:v>
      </x:c>
    </x:row>
    <x:row r="384">
      <x:c r="A384" s="54" t="str">
        <x:v>SIM-S064</x:v>
      </x:c>
      <x:c r="B384" s="54" t="str">
        <x:v>Au</x:v>
      </x:c>
      <x:c r="C384" s="45" t="str">
        <x:v>0.466</x:v>
      </x:c>
      <x:c r="D384" s="45" t="n">
        <x:v>0.466</x:v>
      </x:c>
      <x:c r="E384" s="54" t="str">
        <x:v>mg/kg</x:v>
      </x:c>
      <x:c r="F384" s="45" t="n">
        <x:v>0.005</x:v>
      </x:c>
      <x:c r="G384" s="45" t="str">
        <x:v>模拟检测法-Au</x:v>
      </x:c>
      <x:c r="H384" s="63" t="n">
        <x:v>46300</x:v>
      </x:c>
      <x:c r="I384" s="54" t="str">
        <x:v>SIM-LAB-03</x:v>
      </x:c>
      <x:c r="J384" s="45" t="str">
        <x:v>人工模拟结果，无对应检测报告</x:v>
      </x:c>
    </x:row>
    <x:row r="385">
      <x:c r="A385" s="54" t="str">
        <x:v>SIM-S064</x:v>
      </x:c>
      <x:c r="B385" s="54" t="str">
        <x:v>Ag</x:v>
      </x:c>
      <x:c r="C385" s="45" t="str">
        <x:v>4.89</x:v>
      </x:c>
      <x:c r="D385" s="45" t="n">
        <x:v>4.89</x:v>
      </x:c>
      <x:c r="E385" s="54" t="str">
        <x:v>mg/kg</x:v>
      </x:c>
      <x:c r="F385" s="45" t="n">
        <x:v>0.1</x:v>
      </x:c>
      <x:c r="G385" s="45" t="str">
        <x:v>模拟检测法-Ag</x:v>
      </x:c>
      <x:c r="H385" s="63" t="n">
        <x:v>46300</x:v>
      </x:c>
      <x:c r="I385" s="54" t="str">
        <x:v>SIM-LAB-03</x:v>
      </x:c>
      <x:c r="J385" s="45" t="str">
        <x:v>人工模拟结果，无对应检测报告</x:v>
      </x:c>
    </x:row>
    <x:row r="386">
      <x:c r="A386" s="54" t="str">
        <x:v>SIM-S064</x:v>
      </x:c>
      <x:c r="B386" s="54" t="str">
        <x:v>Cu</x:v>
      </x:c>
      <x:c r="C386" s="45" t="str">
        <x:v>0.0681</x:v>
      </x:c>
      <x:c r="D386" s="45" t="n">
        <x:v>0.0681</x:v>
      </x:c>
      <x:c r="E386" s="54" t="str">
        <x:v>%</x:v>
      </x:c>
      <x:c r="F386" s="45" t="n">
        <x:v>0.001</x:v>
      </x:c>
      <x:c r="G386" s="45" t="str">
        <x:v>模拟检测法-Cu</x:v>
      </x:c>
      <x:c r="H386" s="63" t="n">
        <x:v>46300</x:v>
      </x:c>
      <x:c r="I386" s="54" t="str">
        <x:v>SIM-LAB-03</x:v>
      </x:c>
      <x:c r="J386" s="45" t="str">
        <x:v>人工模拟结果，无对应检测报告</x:v>
      </x:c>
    </x:row>
    <x:row r="387">
      <x:c r="A387" s="54" t="str">
        <x:v>SIM-S064</x:v>
      </x:c>
      <x:c r="B387" s="54" t="str">
        <x:v>Pb</x:v>
      </x:c>
      <x:c r="C387" s="45" t="str">
        <x:v>0.2777</x:v>
      </x:c>
      <x:c r="D387" s="45" t="n">
        <x:v>0.2777</x:v>
      </x:c>
      <x:c r="E387" s="54" t="str">
        <x:v>%</x:v>
      </x:c>
      <x:c r="F387" s="45" t="n">
        <x:v>0.001</x:v>
      </x:c>
      <x:c r="G387" s="45" t="str">
        <x:v>模拟检测法-Pb</x:v>
      </x:c>
      <x:c r="H387" s="63" t="n">
        <x:v>46300</x:v>
      </x:c>
      <x:c r="I387" s="54" t="str">
        <x:v>SIM-LAB-03</x:v>
      </x:c>
      <x:c r="J387" s="45" t="str">
        <x:v>人工模拟结果，无对应检测报告</x:v>
      </x:c>
    </x:row>
    <x:row r="388">
      <x:c r="A388" s="54" t="str">
        <x:v>SIM-S064</x:v>
      </x:c>
      <x:c r="B388" s="54" t="str">
        <x:v>Zn</x:v>
      </x:c>
      <x:c r="C388" s="45" t="str">
        <x:v>0.5435</x:v>
      </x:c>
      <x:c r="D388" s="45" t="n">
        <x:v>0.5435</x:v>
      </x:c>
      <x:c r="E388" s="54" t="str">
        <x:v>%</x:v>
      </x:c>
      <x:c r="F388" s="45" t="n">
        <x:v>0.001</x:v>
      </x:c>
      <x:c r="G388" s="45" t="str">
        <x:v>模拟检测法-Zn</x:v>
      </x:c>
      <x:c r="H388" s="63" t="n">
        <x:v>46300</x:v>
      </x:c>
      <x:c r="I388" s="54" t="str">
        <x:v>SIM-LAB-03</x:v>
      </x:c>
      <x:c r="J388" s="45" t="str">
        <x:v>人工模拟结果，无对应检测报告</x:v>
      </x:c>
    </x:row>
    <x:row r="389">
      <x:c r="A389" s="54" t="str">
        <x:v>SIM-S064</x:v>
      </x:c>
      <x:c r="B389" s="54" t="str">
        <x:v>As</x:v>
      </x:c>
      <x:c r="C389" s="45" t="str">
        <x:v>29.5</x:v>
      </x:c>
      <x:c r="D389" s="45" t="n">
        <x:v>29.5</x:v>
      </x:c>
      <x:c r="E389" s="54" t="str">
        <x:v>mg/kg</x:v>
      </x:c>
      <x:c r="F389" s="45" t="n">
        <x:v>1</x:v>
      </x:c>
      <x:c r="G389" s="45" t="str">
        <x:v>模拟检测法-As</x:v>
      </x:c>
      <x:c r="H389" s="63" t="n">
        <x:v>46300</x:v>
      </x:c>
      <x:c r="I389" s="54" t="str">
        <x:v>SIM-LAB-03</x:v>
      </x:c>
      <x:c r="J389" s="45" t="str">
        <x:v>人工模拟结果，无对应检测报告</x:v>
      </x:c>
    </x:row>
    <x:row r="390">
      <x:c r="A390" s="54" t="str">
        <x:v>SIM-S065</x:v>
      </x:c>
      <x:c r="B390" s="54" t="str">
        <x:v>Au</x:v>
      </x:c>
      <x:c r="C390" s="45" t="str">
        <x:v>0.835</x:v>
      </x:c>
      <x:c r="D390" s="45" t="n">
        <x:v>0.835</x:v>
      </x:c>
      <x:c r="E390" s="54" t="str">
        <x:v>mg/kg</x:v>
      </x:c>
      <x:c r="F390" s="45" t="n">
        <x:v>0.005</x:v>
      </x:c>
      <x:c r="G390" s="45" t="str">
        <x:v>模拟检测法-Au</x:v>
      </x:c>
      <x:c r="H390" s="63" t="n">
        <x:v>46300</x:v>
      </x:c>
      <x:c r="I390" s="54" t="str">
        <x:v>SIM-LAB-03</x:v>
      </x:c>
      <x:c r="J390" s="45" t="str">
        <x:v>人工模拟结果，无对应检测报告</x:v>
      </x:c>
    </x:row>
    <x:row r="391">
      <x:c r="A391" s="54" t="str">
        <x:v>SIM-S065</x:v>
      </x:c>
      <x:c r="B391" s="54" t="str">
        <x:v>Ag</x:v>
      </x:c>
      <x:c r="C391" s="45" t="str">
        <x:v>7.7</x:v>
      </x:c>
      <x:c r="D391" s="45" t="n">
        <x:v>7.7</x:v>
      </x:c>
      <x:c r="E391" s="54" t="str">
        <x:v>mg/kg</x:v>
      </x:c>
      <x:c r="F391" s="45" t="n">
        <x:v>0.1</x:v>
      </x:c>
      <x:c r="G391" s="45" t="str">
        <x:v>模拟检测法-Ag</x:v>
      </x:c>
      <x:c r="H391" s="63" t="n">
        <x:v>46300</x:v>
      </x:c>
      <x:c r="I391" s="54" t="str">
        <x:v>SIM-LAB-03</x:v>
      </x:c>
      <x:c r="J391" s="45" t="str">
        <x:v>人工模拟结果，无对应检测报告</x:v>
      </x:c>
    </x:row>
    <x:row r="392">
      <x:c r="A392" s="54" t="str">
        <x:v>SIM-S065</x:v>
      </x:c>
      <x:c r="B392" s="54" t="str">
        <x:v>Cu</x:v>
      </x:c>
      <x:c r="C392" s="45" t="str">
        <x:v>0.1175</x:v>
      </x:c>
      <x:c r="D392" s="45" t="n">
        <x:v>0.1175</x:v>
      </x:c>
      <x:c r="E392" s="54" t="str">
        <x:v>%</x:v>
      </x:c>
      <x:c r="F392" s="45" t="n">
        <x:v>0.001</x:v>
      </x:c>
      <x:c r="G392" s="45" t="str">
        <x:v>模拟检测法-Cu</x:v>
      </x:c>
      <x:c r="H392" s="63" t="n">
        <x:v>46300</x:v>
      </x:c>
      <x:c r="I392" s="54" t="str">
        <x:v>SIM-LAB-03</x:v>
      </x:c>
      <x:c r="J392" s="45" t="str">
        <x:v>人工模拟结果，无对应检测报告</x:v>
      </x:c>
    </x:row>
    <x:row r="393">
      <x:c r="A393" s="54" t="str">
        <x:v>SIM-S065</x:v>
      </x:c>
      <x:c r="B393" s="54" t="str">
        <x:v>Pb</x:v>
      </x:c>
      <x:c r="C393" s="45" t="str">
        <x:v>0.4806</x:v>
      </x:c>
      <x:c r="D393" s="45" t="n">
        <x:v>0.4806</x:v>
      </x:c>
      <x:c r="E393" s="54" t="str">
        <x:v>%</x:v>
      </x:c>
      <x:c r="F393" s="45" t="n">
        <x:v>0.001</x:v>
      </x:c>
      <x:c r="G393" s="45" t="str">
        <x:v>模拟检测法-Pb</x:v>
      </x:c>
      <x:c r="H393" s="63" t="n">
        <x:v>46300</x:v>
      </x:c>
      <x:c r="I393" s="54" t="str">
        <x:v>SIM-LAB-03</x:v>
      </x:c>
      <x:c r="J393" s="45" t="str">
        <x:v>人工模拟结果，无对应检测报告</x:v>
      </x:c>
    </x:row>
    <x:row r="394">
      <x:c r="A394" s="54" t="str">
        <x:v>SIM-S065</x:v>
      </x:c>
      <x:c r="B394" s="54" t="str">
        <x:v>Zn</x:v>
      </x:c>
      <x:c r="C394" s="45" t="str">
        <x:v>0.9607</x:v>
      </x:c>
      <x:c r="D394" s="45" t="n">
        <x:v>0.9607</x:v>
      </x:c>
      <x:c r="E394" s="54" t="str">
        <x:v>%</x:v>
      </x:c>
      <x:c r="F394" s="45" t="n">
        <x:v>0.001</x:v>
      </x:c>
      <x:c r="G394" s="45" t="str">
        <x:v>模拟检测法-Zn</x:v>
      </x:c>
      <x:c r="H394" s="63" t="n">
        <x:v>46300</x:v>
      </x:c>
      <x:c r="I394" s="54" t="str">
        <x:v>SIM-LAB-03</x:v>
      </x:c>
      <x:c r="J394" s="45" t="str">
        <x:v>人工模拟结果，无对应检测报告</x:v>
      </x:c>
    </x:row>
    <x:row r="395">
      <x:c r="A395" s="54" t="str">
        <x:v>SIM-S065</x:v>
      </x:c>
      <x:c r="B395" s="54" t="str">
        <x:v>As</x:v>
      </x:c>
      <x:c r="C395" s="45" t="str">
        <x:v>45.8</x:v>
      </x:c>
      <x:c r="D395" s="45" t="n">
        <x:v>45.8</x:v>
      </x:c>
      <x:c r="E395" s="54" t="str">
        <x:v>mg/kg</x:v>
      </x:c>
      <x:c r="F395" s="45" t="n">
        <x:v>1</x:v>
      </x:c>
      <x:c r="G395" s="45" t="str">
        <x:v>模拟检测法-As</x:v>
      </x:c>
      <x:c r="H395" s="63" t="n">
        <x:v>46300</x:v>
      </x:c>
      <x:c r="I395" s="54" t="str">
        <x:v>SIM-LAB-03</x:v>
      </x:c>
      <x:c r="J395" s="45" t="str">
        <x:v>人工模拟结果，无对应检测报告</x:v>
      </x:c>
    </x:row>
    <x:row r="396">
      <x:c r="A396" s="54" t="str">
        <x:v>SIM-S066</x:v>
      </x:c>
      <x:c r="B396" s="54" t="str">
        <x:v>Au</x:v>
      </x:c>
      <x:c r="C396" s="45" t="str">
        <x:v>1.328</x:v>
      </x:c>
      <x:c r="D396" s="45" t="n">
        <x:v>1.328</x:v>
      </x:c>
      <x:c r="E396" s="54" t="str">
        <x:v>mg/kg</x:v>
      </x:c>
      <x:c r="F396" s="45" t="n">
        <x:v>0.005</x:v>
      </x:c>
      <x:c r="G396" s="45" t="str">
        <x:v>模拟检测法-Au</x:v>
      </x:c>
      <x:c r="H396" s="63" t="n">
        <x:v>46300</x:v>
      </x:c>
      <x:c r="I396" s="54" t="str">
        <x:v>SIM-LAB-03</x:v>
      </x:c>
      <x:c r="J396" s="45" t="str">
        <x:v>人工模拟结果，无对应检测报告</x:v>
      </x:c>
    </x:row>
    <x:row r="397">
      <x:c r="A397" s="54" t="str">
        <x:v>SIM-S066</x:v>
      </x:c>
      <x:c r="B397" s="54" t="str">
        <x:v>Ag</x:v>
      </x:c>
      <x:c r="C397" s="45" t="str">
        <x:v>11.57</x:v>
      </x:c>
      <x:c r="D397" s="45" t="n">
        <x:v>11.57</x:v>
      </x:c>
      <x:c r="E397" s="54" t="str">
        <x:v>mg/kg</x:v>
      </x:c>
      <x:c r="F397" s="45" t="n">
        <x:v>0.1</x:v>
      </x:c>
      <x:c r="G397" s="45" t="str">
        <x:v>模拟检测法-Ag</x:v>
      </x:c>
      <x:c r="H397" s="63" t="n">
        <x:v>46300</x:v>
      </x:c>
      <x:c r="I397" s="54" t="str">
        <x:v>SIM-LAB-03</x:v>
      </x:c>
      <x:c r="J397" s="45" t="str">
        <x:v>人工模拟结果，无对应检测报告</x:v>
      </x:c>
    </x:row>
    <x:row r="398">
      <x:c r="A398" s="54" t="str">
        <x:v>SIM-S066</x:v>
      </x:c>
      <x:c r="B398" s="54" t="str">
        <x:v>Cu</x:v>
      </x:c>
      <x:c r="C398" s="45" t="str">
        <x:v>0.1857</x:v>
      </x:c>
      <x:c r="D398" s="45" t="n">
        <x:v>0.1857</x:v>
      </x:c>
      <x:c r="E398" s="54" t="str">
        <x:v>%</x:v>
      </x:c>
      <x:c r="F398" s="45" t="n">
        <x:v>0.001</x:v>
      </x:c>
      <x:c r="G398" s="45" t="str">
        <x:v>模拟检测法-Cu</x:v>
      </x:c>
      <x:c r="H398" s="63" t="n">
        <x:v>46300</x:v>
      </x:c>
      <x:c r="I398" s="54" t="str">
        <x:v>SIM-LAB-03</x:v>
      </x:c>
      <x:c r="J398" s="45" t="str">
        <x:v>人工模拟结果，无对应检测报告</x:v>
      </x:c>
    </x:row>
    <x:row r="399">
      <x:c r="A399" s="54" t="str">
        <x:v>SIM-S066</x:v>
      </x:c>
      <x:c r="B399" s="54" t="str">
        <x:v>Pb</x:v>
      </x:c>
      <x:c r="C399" s="45" t="str">
        <x:v>0.7631</x:v>
      </x:c>
      <x:c r="D399" s="45" t="n">
        <x:v>0.7631</x:v>
      </x:c>
      <x:c r="E399" s="54" t="str">
        <x:v>%</x:v>
      </x:c>
      <x:c r="F399" s="45" t="n">
        <x:v>0.001</x:v>
      </x:c>
      <x:c r="G399" s="45" t="str">
        <x:v>模拟检测法-Pb</x:v>
      </x:c>
      <x:c r="H399" s="63" t="n">
        <x:v>46300</x:v>
      </x:c>
      <x:c r="I399" s="54" t="str">
        <x:v>SIM-LAB-03</x:v>
      </x:c>
      <x:c r="J399" s="45" t="str">
        <x:v>人工模拟结果，无对应检测报告</x:v>
      </x:c>
    </x:row>
    <x:row r="400">
      <x:c r="A400" s="54" t="str">
        <x:v>SIM-S066</x:v>
      </x:c>
      <x:c r="B400" s="54" t="str">
        <x:v>Zn</x:v>
      </x:c>
      <x:c r="C400" s="45" t="str">
        <x:v>1.5334</x:v>
      </x:c>
      <x:c r="D400" s="45" t="n">
        <x:v>1.5334</x:v>
      </x:c>
      <x:c r="E400" s="54" t="str">
        <x:v>%</x:v>
      </x:c>
      <x:c r="F400" s="45" t="n">
        <x:v>0.001</x:v>
      </x:c>
      <x:c r="G400" s="45" t="str">
        <x:v>模拟检测法-Zn</x:v>
      </x:c>
      <x:c r="H400" s="63" t="n">
        <x:v>46300</x:v>
      </x:c>
      <x:c r="I400" s="54" t="str">
        <x:v>SIM-LAB-03</x:v>
      </x:c>
      <x:c r="J400" s="45" t="str">
        <x:v>人工模拟结果，无对应检测报告</x:v>
      </x:c>
    </x:row>
    <x:row r="401">
      <x:c r="A401" s="54" t="str">
        <x:v>SIM-S066</x:v>
      </x:c>
      <x:c r="B401" s="54" t="str">
        <x:v>As</x:v>
      </x:c>
      <x:c r="C401" s="45" t="str">
        <x:v>68.4</x:v>
      </x:c>
      <x:c r="D401" s="45" t="n">
        <x:v>68.4</x:v>
      </x:c>
      <x:c r="E401" s="54" t="str">
        <x:v>mg/kg</x:v>
      </x:c>
      <x:c r="F401" s="45" t="n">
        <x:v>1</x:v>
      </x:c>
      <x:c r="G401" s="45" t="str">
        <x:v>模拟检测法-As</x:v>
      </x:c>
      <x:c r="H401" s="63" t="n">
        <x:v>46300</x:v>
      </x:c>
      <x:c r="I401" s="54" t="str">
        <x:v>SIM-LAB-03</x:v>
      </x:c>
      <x:c r="J401" s="45" t="str">
        <x:v>人工模拟结果，无对应检测报告</x:v>
      </x:c>
    </x:row>
    <x:row r="402">
      <x:c r="A402" s="54" t="str">
        <x:v>SIM-S067</x:v>
      </x:c>
      <x:c r="B402" s="54" t="str">
        <x:v>Au</x:v>
      </x:c>
      <x:c r="C402" s="45" t="str">
        <x:v>1.891</x:v>
      </x:c>
      <x:c r="D402" s="45" t="n">
        <x:v>1.891</x:v>
      </x:c>
      <x:c r="E402" s="54" t="str">
        <x:v>mg/kg</x:v>
      </x:c>
      <x:c r="F402" s="45" t="n">
        <x:v>0.005</x:v>
      </x:c>
      <x:c r="G402" s="45" t="str">
        <x:v>模拟检测法-Au</x:v>
      </x:c>
      <x:c r="H402" s="63" t="n">
        <x:v>46300</x:v>
      </x:c>
      <x:c r="I402" s="54" t="str">
        <x:v>SIM-LAB-03</x:v>
      </x:c>
      <x:c r="J402" s="45" t="str">
        <x:v>人工模拟结果，无对应检测报告</x:v>
      </x:c>
    </x:row>
    <x:row r="403">
      <x:c r="A403" s="54" t="str">
        <x:v>SIM-S067</x:v>
      </x:c>
      <x:c r="B403" s="54" t="str">
        <x:v>Ag</x:v>
      </x:c>
      <x:c r="C403" s="45" t="str">
        <x:v>16.34</x:v>
      </x:c>
      <x:c r="D403" s="45" t="n">
        <x:v>16.34</x:v>
      </x:c>
      <x:c r="E403" s="54" t="str">
        <x:v>mg/kg</x:v>
      </x:c>
      <x:c r="F403" s="45" t="n">
        <x:v>0.1</x:v>
      </x:c>
      <x:c r="G403" s="45" t="str">
        <x:v>模拟检测法-Ag</x:v>
      </x:c>
      <x:c r="H403" s="63" t="n">
        <x:v>46300</x:v>
      </x:c>
      <x:c r="I403" s="54" t="str">
        <x:v>SIM-LAB-03</x:v>
      </x:c>
      <x:c r="J403" s="45" t="str">
        <x:v>人工模拟结果，无对应检测报告</x:v>
      </x:c>
    </x:row>
    <x:row r="404">
      <x:c r="A404" s="54" t="str">
        <x:v>SIM-S067</x:v>
      </x:c>
      <x:c r="B404" s="54" t="str">
        <x:v>Cu</x:v>
      </x:c>
      <x:c r="C404" s="45" t="str">
        <x:v>0.2647</x:v>
      </x:c>
      <x:c r="D404" s="45" t="n">
        <x:v>0.2647</x:v>
      </x:c>
      <x:c r="E404" s="54" t="str">
        <x:v>%</x:v>
      </x:c>
      <x:c r="F404" s="45" t="n">
        <x:v>0.001</x:v>
      </x:c>
      <x:c r="G404" s="45" t="str">
        <x:v>模拟检测法-Cu</x:v>
      </x:c>
      <x:c r="H404" s="63" t="n">
        <x:v>46300</x:v>
      </x:c>
      <x:c r="I404" s="54" t="str">
        <x:v>SIM-LAB-03</x:v>
      </x:c>
      <x:c r="J404" s="45" t="str">
        <x:v>人工模拟结果，无对应检测报告</x:v>
      </x:c>
    </x:row>
    <x:row r="405">
      <x:c r="A405" s="54" t="str">
        <x:v>SIM-S067</x:v>
      </x:c>
      <x:c r="B405" s="54" t="str">
        <x:v>Pb</x:v>
      </x:c>
      <x:c r="C405" s="45" t="str">
        <x:v>1.0923</x:v>
      </x:c>
      <x:c r="D405" s="45" t="n">
        <x:v>1.0923</x:v>
      </x:c>
      <x:c r="E405" s="54" t="str">
        <x:v>%</x:v>
      </x:c>
      <x:c r="F405" s="45" t="n">
        <x:v>0.001</x:v>
      </x:c>
      <x:c r="G405" s="45" t="str">
        <x:v>模拟检测法-Pb</x:v>
      </x:c>
      <x:c r="H405" s="63" t="n">
        <x:v>46300</x:v>
      </x:c>
      <x:c r="I405" s="54" t="str">
        <x:v>SIM-LAB-03</x:v>
      </x:c>
      <x:c r="J405" s="45" t="str">
        <x:v>人工模拟结果，无对应检测报告</x:v>
      </x:c>
    </x:row>
    <x:row r="406">
      <x:c r="A406" s="54" t="str">
        <x:v>SIM-S067</x:v>
      </x:c>
      <x:c r="B406" s="54" t="str">
        <x:v>Zn</x:v>
      </x:c>
      <x:c r="C406" s="45" t="str">
        <x:v>2.1934</x:v>
      </x:c>
      <x:c r="D406" s="45" t="n">
        <x:v>2.1934</x:v>
      </x:c>
      <x:c r="E406" s="54" t="str">
        <x:v>%</x:v>
      </x:c>
      <x:c r="F406" s="45" t="n">
        <x:v>0.001</x:v>
      </x:c>
      <x:c r="G406" s="45" t="str">
        <x:v>模拟检测法-Zn</x:v>
      </x:c>
      <x:c r="H406" s="63" t="n">
        <x:v>46300</x:v>
      </x:c>
      <x:c r="I406" s="54" t="str">
        <x:v>SIM-LAB-03</x:v>
      </x:c>
      <x:c r="J406" s="45" t="str">
        <x:v>人工模拟结果，无对应检测报告</x:v>
      </x:c>
    </x:row>
    <x:row r="407">
      <x:c r="A407" s="54" t="str">
        <x:v>SIM-S067</x:v>
      </x:c>
      <x:c r="B407" s="54" t="str">
        <x:v>As</x:v>
      </x:c>
      <x:c r="C407" s="45" t="str">
        <x:v>94.6</x:v>
      </x:c>
      <x:c r="D407" s="45" t="n">
        <x:v>94.6</x:v>
      </x:c>
      <x:c r="E407" s="54" t="str">
        <x:v>mg/kg</x:v>
      </x:c>
      <x:c r="F407" s="45" t="n">
        <x:v>1</x:v>
      </x:c>
      <x:c r="G407" s="45" t="str">
        <x:v>模拟检测法-As</x:v>
      </x:c>
      <x:c r="H407" s="63" t="n">
        <x:v>46300</x:v>
      </x:c>
      <x:c r="I407" s="54" t="str">
        <x:v>SIM-LAB-03</x:v>
      </x:c>
      <x:c r="J407" s="45" t="str">
        <x:v>人工模拟结果，无对应检测报告</x:v>
      </x:c>
    </x:row>
    <x:row r="408">
      <x:c r="A408" s="54" t="str">
        <x:v>SIM-S068</x:v>
      </x:c>
      <x:c r="B408" s="54" t="str">
        <x:v>Au</x:v>
      </x:c>
      <x:c r="C408" s="45" t="str">
        <x:v>2.414</x:v>
      </x:c>
      <x:c r="D408" s="45" t="n">
        <x:v>2.414</x:v>
      </x:c>
      <x:c r="E408" s="54" t="str">
        <x:v>mg/kg</x:v>
      </x:c>
      <x:c r="F408" s="45" t="n">
        <x:v>0.005</x:v>
      </x:c>
      <x:c r="G408" s="45" t="str">
        <x:v>模拟检测法-Au</x:v>
      </x:c>
      <x:c r="H408" s="63" t="n">
        <x:v>46300</x:v>
      </x:c>
      <x:c r="I408" s="54" t="str">
        <x:v>SIM-LAB-03</x:v>
      </x:c>
      <x:c r="J408" s="45" t="str">
        <x:v>人工模拟结果，无对应检测报告</x:v>
      </x:c>
    </x:row>
    <x:row r="409">
      <x:c r="A409" s="54" t="str">
        <x:v>SIM-S068</x:v>
      </x:c>
      <x:c r="B409" s="54" t="str">
        <x:v>Ag</x:v>
      </x:c>
      <x:c r="C409" s="45" t="str">
        <x:v>21.14</x:v>
      </x:c>
      <x:c r="D409" s="45" t="n">
        <x:v>21.14</x:v>
      </x:c>
      <x:c r="E409" s="54" t="str">
        <x:v>mg/kg</x:v>
      </x:c>
      <x:c r="F409" s="45" t="n">
        <x:v>0.1</x:v>
      </x:c>
      <x:c r="G409" s="45" t="str">
        <x:v>模拟检测法-Ag</x:v>
      </x:c>
      <x:c r="H409" s="63" t="n">
        <x:v>46300</x:v>
      </x:c>
      <x:c r="I409" s="54" t="str">
        <x:v>SIM-LAB-03</x:v>
      </x:c>
      <x:c r="J409" s="45" t="str">
        <x:v>人工模拟结果，无对应检测报告</x:v>
      </x:c>
    </x:row>
    <x:row r="410">
      <x:c r="A410" s="54" t="str">
        <x:v>SIM-S068</x:v>
      </x:c>
      <x:c r="B410" s="54" t="str">
        <x:v>Cu</x:v>
      </x:c>
      <x:c r="C410" s="45" t="str">
        <x:v>0.3378</x:v>
      </x:c>
      <x:c r="D410" s="45" t="n">
        <x:v>0.3378</x:v>
      </x:c>
      <x:c r="E410" s="54" t="str">
        <x:v>%</x:v>
      </x:c>
      <x:c r="F410" s="45" t="n">
        <x:v>0.001</x:v>
      </x:c>
      <x:c r="G410" s="45" t="str">
        <x:v>模拟检测法-Cu</x:v>
      </x:c>
      <x:c r="H410" s="63" t="n">
        <x:v>46300</x:v>
      </x:c>
      <x:c r="I410" s="54" t="str">
        <x:v>SIM-LAB-03</x:v>
      </x:c>
      <x:c r="J410" s="45" t="str">
        <x:v>人工模拟结果，无对应检测报告</x:v>
      </x:c>
    </x:row>
    <x:row r="411">
      <x:c r="A411" s="54" t="str">
        <x:v>SIM-S068</x:v>
      </x:c>
      <x:c r="B411" s="54" t="str">
        <x:v>Pb</x:v>
      </x:c>
      <x:c r="C411" s="45" t="str">
        <x:v>1.3982</x:v>
      </x:c>
      <x:c r="D411" s="45" t="n">
        <x:v>1.3982</x:v>
      </x:c>
      <x:c r="E411" s="54" t="str">
        <x:v>%</x:v>
      </x:c>
      <x:c r="F411" s="45" t="n">
        <x:v>0.001</x:v>
      </x:c>
      <x:c r="G411" s="45" t="str">
        <x:v>模拟检测法-Pb</x:v>
      </x:c>
      <x:c r="H411" s="63" t="n">
        <x:v>46300</x:v>
      </x:c>
      <x:c r="I411" s="54" t="str">
        <x:v>SIM-LAB-03</x:v>
      </x:c>
      <x:c r="J411" s="45" t="str">
        <x:v>人工模拟结果，无对应检测报告</x:v>
      </x:c>
    </x:row>
    <x:row r="412">
      <x:c r="A412" s="54" t="str">
        <x:v>SIM-S068</x:v>
      </x:c>
      <x:c r="B412" s="54" t="str">
        <x:v>Zn</x:v>
      </x:c>
      <x:c r="C412" s="45" t="str">
        <x:v>2.8008</x:v>
      </x:c>
      <x:c r="D412" s="45" t="n">
        <x:v>2.8008</x:v>
      </x:c>
      <x:c r="E412" s="54" t="str">
        <x:v>%</x:v>
      </x:c>
      <x:c r="F412" s="45" t="n">
        <x:v>0.001</x:v>
      </x:c>
      <x:c r="G412" s="45" t="str">
        <x:v>模拟检测法-Zn</x:v>
      </x:c>
      <x:c r="H412" s="63" t="n">
        <x:v>46300</x:v>
      </x:c>
      <x:c r="I412" s="54" t="str">
        <x:v>SIM-LAB-03</x:v>
      </x:c>
      <x:c r="J412" s="45" t="str">
        <x:v>人工模拟结果，无对应检测报告</x:v>
      </x:c>
    </x:row>
    <x:row r="413">
      <x:c r="A413" s="54" t="str">
        <x:v>SIM-S068</x:v>
      </x:c>
      <x:c r="B413" s="54" t="str">
        <x:v>As</x:v>
      </x:c>
      <x:c r="C413" s="45" t="str">
        <x:v>118.7</x:v>
      </x:c>
      <x:c r="D413" s="45" t="n">
        <x:v>118.7</x:v>
      </x:c>
      <x:c r="E413" s="54" t="str">
        <x:v>mg/kg</x:v>
      </x:c>
      <x:c r="F413" s="45" t="n">
        <x:v>1</x:v>
      </x:c>
      <x:c r="G413" s="45" t="str">
        <x:v>模拟检测法-As</x:v>
      </x:c>
      <x:c r="H413" s="63" t="n">
        <x:v>46300</x:v>
      </x:c>
      <x:c r="I413" s="54" t="str">
        <x:v>SIM-LAB-03</x:v>
      </x:c>
      <x:c r="J413" s="45" t="str">
        <x:v>人工模拟结果，无对应检测报告</x:v>
      </x:c>
    </x:row>
    <x:row r="414">
      <x:c r="A414" s="54" t="str">
        <x:v>SIM-S069</x:v>
      </x:c>
      <x:c r="B414" s="54" t="str">
        <x:v>Au</x:v>
      </x:c>
      <x:c r="C414" s="45" t="str">
        <x:v>2.76</x:v>
      </x:c>
      <x:c r="D414" s="45" t="n">
        <x:v>2.76</x:v>
      </x:c>
      <x:c r="E414" s="54" t="str">
        <x:v>mg/kg</x:v>
      </x:c>
      <x:c r="F414" s="45" t="n">
        <x:v>0.005</x:v>
      </x:c>
      <x:c r="G414" s="45" t="str">
        <x:v>模拟检测法-Au</x:v>
      </x:c>
      <x:c r="H414" s="63" t="n">
        <x:v>46300</x:v>
      </x:c>
      <x:c r="I414" s="54" t="str">
        <x:v>SIM-LAB-03</x:v>
      </x:c>
      <x:c r="J414" s="45" t="str">
        <x:v>人工模拟结果，无对应检测报告</x:v>
      </x:c>
    </x:row>
    <x:row r="415">
      <x:c r="A415" s="54" t="str">
        <x:v>SIM-S069</x:v>
      </x:c>
      <x:c r="B415" s="54" t="str">
        <x:v>Ag</x:v>
      </x:c>
      <x:c r="C415" s="45" t="str">
        <x:v>24.5</x:v>
      </x:c>
      <x:c r="D415" s="45" t="n">
        <x:v>24.5</x:v>
      </x:c>
      <x:c r="E415" s="54" t="str">
        <x:v>mg/kg</x:v>
      </x:c>
      <x:c r="F415" s="45" t="n">
        <x:v>0.1</x:v>
      </x:c>
      <x:c r="G415" s="45" t="str">
        <x:v>模拟检测法-Ag</x:v>
      </x:c>
      <x:c r="H415" s="63" t="n">
        <x:v>46300</x:v>
      </x:c>
      <x:c r="I415" s="54" t="str">
        <x:v>SIM-LAB-03</x:v>
      </x:c>
      <x:c r="J415" s="45" t="str">
        <x:v>人工模拟结果，无对应检测报告</x:v>
      </x:c>
    </x:row>
    <x:row r="416">
      <x:c r="A416" s="54" t="str">
        <x:v>SIM-S069</x:v>
      </x:c>
      <x:c r="B416" s="54" t="str">
        <x:v>Cu</x:v>
      </x:c>
      <x:c r="C416" s="45" t="str">
        <x:v>0.3846</x:v>
      </x:c>
      <x:c r="D416" s="45" t="n">
        <x:v>0.3846</x:v>
      </x:c>
      <x:c r="E416" s="54" t="str">
        <x:v>%</x:v>
      </x:c>
      <x:c r="F416" s="45" t="n">
        <x:v>0.001</x:v>
      </x:c>
      <x:c r="G416" s="45" t="str">
        <x:v>模拟检测法-Cu</x:v>
      </x:c>
      <x:c r="H416" s="63" t="n">
        <x:v>46300</x:v>
      </x:c>
      <x:c r="I416" s="54" t="str">
        <x:v>SIM-LAB-03</x:v>
      </x:c>
      <x:c r="J416" s="45" t="str">
        <x:v>人工模拟结果，无对应检测报告</x:v>
      </x:c>
    </x:row>
    <x:row r="417">
      <x:c r="A417" s="54" t="str">
        <x:v>SIM-S069</x:v>
      </x:c>
      <x:c r="B417" s="54" t="str">
        <x:v>Pb</x:v>
      </x:c>
      <x:c r="C417" s="45" t="str">
        <x:v>1.5949</x:v>
      </x:c>
      <x:c r="D417" s="45" t="n">
        <x:v>1.5949</x:v>
      </x:c>
      <x:c r="E417" s="54" t="str">
        <x:v>%</x:v>
      </x:c>
      <x:c r="F417" s="45" t="n">
        <x:v>0.001</x:v>
      </x:c>
      <x:c r="G417" s="45" t="str">
        <x:v>模拟检测法-Pb</x:v>
      </x:c>
      <x:c r="H417" s="63" t="n">
        <x:v>46300</x:v>
      </x:c>
      <x:c r="I417" s="54" t="str">
        <x:v>SIM-LAB-03</x:v>
      </x:c>
      <x:c r="J417" s="45" t="str">
        <x:v>人工模拟结果，无对应检测报告</x:v>
      </x:c>
    </x:row>
    <x:row r="418">
      <x:c r="A418" s="54" t="str">
        <x:v>SIM-S069</x:v>
      </x:c>
      <x:c r="B418" s="54" t="str">
        <x:v>Zn</x:v>
      </x:c>
      <x:c r="C418" s="45" t="str">
        <x:v>3.1863</x:v>
      </x:c>
      <x:c r="D418" s="45" t="n">
        <x:v>3.1863</x:v>
      </x:c>
      <x:c r="E418" s="54" t="str">
        <x:v>%</x:v>
      </x:c>
      <x:c r="F418" s="45" t="n">
        <x:v>0.001</x:v>
      </x:c>
      <x:c r="G418" s="45" t="str">
        <x:v>模拟检测法-Zn</x:v>
      </x:c>
      <x:c r="H418" s="63" t="n">
        <x:v>46300</x:v>
      </x:c>
      <x:c r="I418" s="54" t="str">
        <x:v>SIM-LAB-03</x:v>
      </x:c>
      <x:c r="J418" s="45" t="str">
        <x:v>人工模拟结果，无对应检测报告</x:v>
      </x:c>
    </x:row>
    <x:row r="419">
      <x:c r="A419" s="54" t="str">
        <x:v>SIM-S069</x:v>
      </x:c>
      <x:c r="B419" s="54" t="str">
        <x:v>As</x:v>
      </x:c>
      <x:c r="C419" s="45" t="str">
        <x:v>134.0</x:v>
      </x:c>
      <x:c r="D419" s="45" t="n">
        <x:v>134</x:v>
      </x:c>
      <x:c r="E419" s="54" t="str">
        <x:v>mg/kg</x:v>
      </x:c>
      <x:c r="F419" s="45" t="n">
        <x:v>1</x:v>
      </x:c>
      <x:c r="G419" s="45" t="str">
        <x:v>模拟检测法-As</x:v>
      </x:c>
      <x:c r="H419" s="63" t="n">
        <x:v>46300</x:v>
      </x:c>
      <x:c r="I419" s="54" t="str">
        <x:v>SIM-LAB-03</x:v>
      </x:c>
      <x:c r="J419" s="45" t="str">
        <x:v>人工模拟结果，无对应检测报告</x:v>
      </x:c>
    </x:row>
    <x:row r="420">
      <x:c r="A420" s="54" t="str">
        <x:v>SIM-S070</x:v>
      </x:c>
      <x:c r="B420" s="54" t="str">
        <x:v>Au</x:v>
      </x:c>
      <x:c r="C420" s="45" t="str">
        <x:v>&lt;0.005</x:v>
      </x:c>
      <x:c r="D420" s="45"/>
      <x:c r="E420" s="54" t="str">
        <x:v>mg/kg</x:v>
      </x:c>
      <x:c r="F420" s="45" t="n">
        <x:v>0.005</x:v>
      </x:c>
      <x:c r="G420" s="45" t="str">
        <x:v>模拟检测法-Au</x:v>
      </x:c>
      <x:c r="H420" s="63" t="n">
        <x:v>46300</x:v>
      </x:c>
      <x:c r="I420" s="54" t="str">
        <x:v>SIM-LAB-03</x:v>
      </x:c>
      <x:c r="J420" s="45" t="str">
        <x:v>人工模拟结果，无对应检测报告</x:v>
      </x:c>
    </x:row>
    <x:row r="421">
      <x:c r="A421" s="54" t="str">
        <x:v>SIM-S070</x:v>
      </x:c>
      <x:c r="B421" s="54" t="str">
        <x:v>Ag</x:v>
      </x:c>
      <x:c r="C421" s="45" t="str">
        <x:v>25.11</x:v>
      </x:c>
      <x:c r="D421" s="45" t="n">
        <x:v>25.11</x:v>
      </x:c>
      <x:c r="E421" s="54" t="str">
        <x:v>mg/kg</x:v>
      </x:c>
      <x:c r="F421" s="45" t="n">
        <x:v>0.1</x:v>
      </x:c>
      <x:c r="G421" s="45" t="str">
        <x:v>模拟检测法-Ag</x:v>
      </x:c>
      <x:c r="H421" s="63" t="n">
        <x:v>46300</x:v>
      </x:c>
      <x:c r="I421" s="54" t="str">
        <x:v>SIM-LAB-03</x:v>
      </x:c>
      <x:c r="J421" s="45" t="str">
        <x:v>人工模拟结果，无对应检测报告</x:v>
      </x:c>
    </x:row>
    <x:row r="422">
      <x:c r="A422" s="54" t="str">
        <x:v>SIM-S070</x:v>
      </x:c>
      <x:c r="B422" s="54" t="str">
        <x:v>Cu</x:v>
      </x:c>
      <x:c r="C422" s="45" t="str">
        <x:v>0.3899</x:v>
      </x:c>
      <x:c r="D422" s="45" t="n">
        <x:v>0.3899</x:v>
      </x:c>
      <x:c r="E422" s="54" t="str">
        <x:v>%</x:v>
      </x:c>
      <x:c r="F422" s="45" t="n">
        <x:v>0.001</x:v>
      </x:c>
      <x:c r="G422" s="45" t="str">
        <x:v>模拟检测法-Cu</x:v>
      </x:c>
      <x:c r="H422" s="63" t="n">
        <x:v>46300</x:v>
      </x:c>
      <x:c r="I422" s="54" t="str">
        <x:v>SIM-LAB-03</x:v>
      </x:c>
      <x:c r="J422" s="45" t="str">
        <x:v>人工模拟结果，无对应检测报告</x:v>
      </x:c>
    </x:row>
    <x:row r="423">
      <x:c r="A423" s="54" t="str">
        <x:v>SIM-S070</x:v>
      </x:c>
      <x:c r="B423" s="54" t="str">
        <x:v>Pb</x:v>
      </x:c>
      <x:c r="C423" s="45" t="str">
        <x:v>1.6187</x:v>
      </x:c>
      <x:c r="D423" s="45" t="n">
        <x:v>1.6187</x:v>
      </x:c>
      <x:c r="E423" s="54" t="str">
        <x:v>%</x:v>
      </x:c>
      <x:c r="F423" s="45" t="n">
        <x:v>0.001</x:v>
      </x:c>
      <x:c r="G423" s="45" t="str">
        <x:v>模拟检测法-Pb</x:v>
      </x:c>
      <x:c r="H423" s="63" t="n">
        <x:v>46300</x:v>
      </x:c>
      <x:c r="I423" s="54" t="str">
        <x:v>SIM-LAB-03</x:v>
      </x:c>
      <x:c r="J423" s="45" t="str">
        <x:v>人工模拟结果，无对应检测报告</x:v>
      </x:c>
    </x:row>
    <x:row r="424">
      <x:c r="A424" s="54" t="str">
        <x:v>SIM-S070</x:v>
      </x:c>
      <x:c r="B424" s="54" t="str">
        <x:v>Zn</x:v>
      </x:c>
      <x:c r="C424" s="45" t="str">
        <x:v>3.2262</x:v>
      </x:c>
      <x:c r="D424" s="45" t="n">
        <x:v>3.2262</x:v>
      </x:c>
      <x:c r="E424" s="54" t="str">
        <x:v>%</x:v>
      </x:c>
      <x:c r="F424" s="45" t="n">
        <x:v>0.001</x:v>
      </x:c>
      <x:c r="G424" s="45" t="str">
        <x:v>模拟检测法-Zn</x:v>
      </x:c>
      <x:c r="H424" s="63" t="n">
        <x:v>46300</x:v>
      </x:c>
      <x:c r="I424" s="54" t="str">
        <x:v>SIM-LAB-03</x:v>
      </x:c>
      <x:c r="J424" s="45" t="str">
        <x:v>人工模拟结果，无对应检测报告</x:v>
      </x:c>
    </x:row>
    <x:row r="425">
      <x:c r="A425" s="54" t="str">
        <x:v>SIM-S070</x:v>
      </x:c>
      <x:c r="B425" s="54" t="str">
        <x:v>As</x:v>
      </x:c>
      <x:c r="C425" s="45" t="str">
        <x:v>135.1</x:v>
      </x:c>
      <x:c r="D425" s="45" t="n">
        <x:v>135.1</x:v>
      </x:c>
      <x:c r="E425" s="54" t="str">
        <x:v>mg/kg</x:v>
      </x:c>
      <x:c r="F425" s="45" t="n">
        <x:v>1</x:v>
      </x:c>
      <x:c r="G425" s="45" t="str">
        <x:v>模拟检测法-As</x:v>
      </x:c>
      <x:c r="H425" s="63" t="n">
        <x:v>46300</x:v>
      </x:c>
      <x:c r="I425" s="54" t="str">
        <x:v>SIM-LAB-03</x:v>
      </x:c>
      <x:c r="J425" s="45" t="str">
        <x:v>人工模拟结果，无对应检测报告</x:v>
      </x:c>
    </x:row>
    <x:row r="426">
      <x:c r="A426" s="54" t="str">
        <x:v>SIM-S071</x:v>
      </x:c>
      <x:c r="B426" s="54" t="str">
        <x:v>Au</x:v>
      </x:c>
      <x:c r="C426" s="45" t="str">
        <x:v>2.562</x:v>
      </x:c>
      <x:c r="D426" s="45" t="n">
        <x:v>2.562</x:v>
      </x:c>
      <x:c r="E426" s="54" t="str">
        <x:v>mg/kg</x:v>
      </x:c>
      <x:c r="F426" s="45" t="n">
        <x:v>0.005</x:v>
      </x:c>
      <x:c r="G426" s="45" t="str">
        <x:v>模拟检测法-Au</x:v>
      </x:c>
      <x:c r="H426" s="63" t="n">
        <x:v>46300</x:v>
      </x:c>
      <x:c r="I426" s="54" t="str">
        <x:v>SIM-LAB-03</x:v>
      </x:c>
      <x:c r="J426" s="45" t="str">
        <x:v>人工模拟结果，无对应检测报告</x:v>
      </x:c>
    </x:row>
    <x:row r="427">
      <x:c r="A427" s="54" t="str">
        <x:v>SIM-S071</x:v>
      </x:c>
      <x:c r="B427" s="54" t="str">
        <x:v>Ag</x:v>
      </x:c>
      <x:c r="C427" s="45" t="str">
        <x:v>22.63</x:v>
      </x:c>
      <x:c r="D427" s="45" t="n">
        <x:v>22.63</x:v>
      </x:c>
      <x:c r="E427" s="54" t="str">
        <x:v>mg/kg</x:v>
      </x:c>
      <x:c r="F427" s="45" t="n">
        <x:v>0.1</x:v>
      </x:c>
      <x:c r="G427" s="45" t="str">
        <x:v>模拟检测法-Ag</x:v>
      </x:c>
      <x:c r="H427" s="63" t="n">
        <x:v>46300</x:v>
      </x:c>
      <x:c r="I427" s="54" t="str">
        <x:v>SIM-LAB-03</x:v>
      </x:c>
      <x:c r="J427" s="45" t="str">
        <x:v>人工模拟结果，无对应检测报告</x:v>
      </x:c>
    </x:row>
    <x:row r="428">
      <x:c r="A428" s="54" t="str">
        <x:v>SIM-S071</x:v>
      </x:c>
      <x:c r="B428" s="54" t="str">
        <x:v>Cu</x:v>
      </x:c>
      <x:c r="C428" s="45" t="str">
        <x:v>0.3519</x:v>
      </x:c>
      <x:c r="D428" s="45" t="n">
        <x:v>0.3519</x:v>
      </x:c>
      <x:c r="E428" s="54" t="str">
        <x:v>%</x:v>
      </x:c>
      <x:c r="F428" s="45" t="n">
        <x:v>0.001</x:v>
      </x:c>
      <x:c r="G428" s="45" t="str">
        <x:v>模拟检测法-Cu</x:v>
      </x:c>
      <x:c r="H428" s="63" t="n">
        <x:v>46300</x:v>
      </x:c>
      <x:c r="I428" s="54" t="str">
        <x:v>SIM-LAB-03</x:v>
      </x:c>
      <x:c r="J428" s="45" t="str">
        <x:v>人工模拟结果，无对应检测报告</x:v>
      </x:c>
    </x:row>
    <x:row r="429">
      <x:c r="A429" s="54" t="str">
        <x:v>SIM-S071</x:v>
      </x:c>
      <x:c r="B429" s="54" t="str">
        <x:v>Pb</x:v>
      </x:c>
      <x:c r="C429" s="45" t="str">
        <x:v>1.4611</x:v>
      </x:c>
      <x:c r="D429" s="45" t="n">
        <x:v>1.4611</x:v>
      </x:c>
      <x:c r="E429" s="54" t="str">
        <x:v>%</x:v>
      </x:c>
      <x:c r="F429" s="45" t="n">
        <x:v>0.001</x:v>
      </x:c>
      <x:c r="G429" s="45" t="str">
        <x:v>模拟检测法-Pb</x:v>
      </x:c>
      <x:c r="H429" s="63" t="n">
        <x:v>46300</x:v>
      </x:c>
      <x:c r="I429" s="54" t="str">
        <x:v>SIM-LAB-03</x:v>
      </x:c>
      <x:c r="J429" s="45" t="str">
        <x:v>人工模拟结果，无对应检测报告</x:v>
      </x:c>
    </x:row>
    <x:row r="430">
      <x:c r="A430" s="54" t="str">
        <x:v>SIM-S071</x:v>
      </x:c>
      <x:c r="B430" s="54" t="str">
        <x:v>Zn</x:v>
      </x:c>
      <x:c r="C430" s="45" t="str">
        <x:v>2.9072</x:v>
      </x:c>
      <x:c r="D430" s="45" t="n">
        <x:v>2.9072</x:v>
      </x:c>
      <x:c r="E430" s="54" t="str">
        <x:v>%</x:v>
      </x:c>
      <x:c r="F430" s="45" t="n">
        <x:v>0.001</x:v>
      </x:c>
      <x:c r="G430" s="45" t="str">
        <x:v>模拟检测法-Zn</x:v>
      </x:c>
      <x:c r="H430" s="63" t="n">
        <x:v>46300</x:v>
      </x:c>
      <x:c r="I430" s="54" t="str">
        <x:v>SIM-LAB-03</x:v>
      </x:c>
      <x:c r="J430" s="45" t="str">
        <x:v>人工模拟结果，无对应检测报告</x:v>
      </x:c>
    </x:row>
    <x:row r="431">
      <x:c r="A431" s="54" t="str">
        <x:v>SIM-S071</x:v>
      </x:c>
      <x:c r="B431" s="54" t="str">
        <x:v>As</x:v>
      </x:c>
      <x:c r="C431" s="45" t="str">
        <x:v>121.7</x:v>
      </x:c>
      <x:c r="D431" s="45" t="n">
        <x:v>121.7</x:v>
      </x:c>
      <x:c r="E431" s="54" t="str">
        <x:v>mg/kg</x:v>
      </x:c>
      <x:c r="F431" s="45" t="n">
        <x:v>1</x:v>
      </x:c>
      <x:c r="G431" s="45" t="str">
        <x:v>模拟检测法-As</x:v>
      </x:c>
      <x:c r="H431" s="63" t="n">
        <x:v>46300</x:v>
      </x:c>
      <x:c r="I431" s="54" t="str">
        <x:v>SIM-LAB-03</x:v>
      </x:c>
      <x:c r="J431" s="45" t="str">
        <x:v>人工模拟结果，无对应检测报告</x:v>
      </x:c>
    </x:row>
    <x:row r="432">
      <x:c r="A432" s="54" t="str">
        <x:v>SIM-S072</x:v>
      </x:c>
      <x:c r="B432" s="54" t="str">
        <x:v>Au</x:v>
      </x:c>
      <x:c r="C432" s="45" t="str">
        <x:v>2.065</x:v>
      </x:c>
      <x:c r="D432" s="45" t="n">
        <x:v>2.065</x:v>
      </x:c>
      <x:c r="E432" s="54" t="str">
        <x:v>mg/kg</x:v>
      </x:c>
      <x:c r="F432" s="45" t="n">
        <x:v>0.005</x:v>
      </x:c>
      <x:c r="G432" s="45" t="str">
        <x:v>模拟检测法-Au</x:v>
      </x:c>
      <x:c r="H432" s="63" t="n">
        <x:v>46300</x:v>
      </x:c>
      <x:c r="I432" s="54" t="str">
        <x:v>SIM-LAB-03</x:v>
      </x:c>
      <x:c r="J432" s="45" t="str">
        <x:v>人工模拟结果，无对应检测报告</x:v>
      </x:c>
    </x:row>
    <x:row r="433">
      <x:c r="A433" s="54" t="str">
        <x:v>SIM-S072</x:v>
      </x:c>
      <x:c r="B433" s="54" t="str">
        <x:v>Ag</x:v>
      </x:c>
      <x:c r="C433" s="45" t="str">
        <x:v>17.96</x:v>
      </x:c>
      <x:c r="D433" s="45" t="n">
        <x:v>17.96</x:v>
      </x:c>
      <x:c r="E433" s="54" t="str">
        <x:v>mg/kg</x:v>
      </x:c>
      <x:c r="F433" s="45" t="n">
        <x:v>0.1</x:v>
      </x:c>
      <x:c r="G433" s="45" t="str">
        <x:v>模拟检测法-Ag</x:v>
      </x:c>
      <x:c r="H433" s="63" t="n">
        <x:v>46300</x:v>
      </x:c>
      <x:c r="I433" s="54" t="str">
        <x:v>SIM-LAB-03</x:v>
      </x:c>
      <x:c r="J433" s="45" t="str">
        <x:v>人工模拟结果，无对应检测报告</x:v>
      </x:c>
    </x:row>
    <x:row r="434">
      <x:c r="A434" s="54" t="str">
        <x:v>SIM-S072</x:v>
      </x:c>
      <x:c r="B434" s="54" t="str">
        <x:v>Cu</x:v>
      </x:c>
      <x:c r="C434" s="45" t="str">
        <x:v>0.2828</x:v>
      </x:c>
      <x:c r="D434" s="45" t="n">
        <x:v>0.2828</x:v>
      </x:c>
      <x:c r="E434" s="54" t="str">
        <x:v>%</x:v>
      </x:c>
      <x:c r="F434" s="45" t="n">
        <x:v>0.001</x:v>
      </x:c>
      <x:c r="G434" s="45" t="str">
        <x:v>模拟检测法-Cu</x:v>
      </x:c>
      <x:c r="H434" s="63" t="n">
        <x:v>46300</x:v>
      </x:c>
      <x:c r="I434" s="54" t="str">
        <x:v>SIM-LAB-03</x:v>
      </x:c>
      <x:c r="J434" s="45" t="str">
        <x:v>人工模拟结果，无对应检测报告</x:v>
      </x:c>
    </x:row>
    <x:row r="435">
      <x:c r="A435" s="54" t="str">
        <x:v>SIM-S072</x:v>
      </x:c>
      <x:c r="B435" s="54" t="str">
        <x:v>Pb</x:v>
      </x:c>
      <x:c r="C435" s="45" t="str">
        <x:v>1.1733</x:v>
      </x:c>
      <x:c r="D435" s="45" t="n">
        <x:v>1.1733</x:v>
      </x:c>
      <x:c r="E435" s="54" t="str">
        <x:v>%</x:v>
      </x:c>
      <x:c r="F435" s="45" t="n">
        <x:v>0.001</x:v>
      </x:c>
      <x:c r="G435" s="45" t="str">
        <x:v>模拟检测法-Pb</x:v>
      </x:c>
      <x:c r="H435" s="63" t="n">
        <x:v>46300</x:v>
      </x:c>
      <x:c r="I435" s="54" t="str">
        <x:v>SIM-LAB-03</x:v>
      </x:c>
      <x:c r="J435" s="45" t="str">
        <x:v>人工模拟结果，无对应检测报告</x:v>
      </x:c>
    </x:row>
    <x:row r="436">
      <x:c r="A436" s="54" t="str">
        <x:v>SIM-S072</x:v>
      </x:c>
      <x:c r="B436" s="54" t="str">
        <x:v>Zn</x:v>
      </x:c>
      <x:c r="C436" s="45" t="str">
        <x:v>2.3341</x:v>
      </x:c>
      <x:c r="D436" s="45" t="n">
        <x:v>2.3341</x:v>
      </x:c>
      <x:c r="E436" s="54" t="str">
        <x:v>%</x:v>
      </x:c>
      <x:c r="F436" s="45" t="n">
        <x:v>0.001</x:v>
      </x:c>
      <x:c r="G436" s="45" t="str">
        <x:v>模拟检测法-Zn</x:v>
      </x:c>
      <x:c r="H436" s="63" t="n">
        <x:v>46300</x:v>
      </x:c>
      <x:c r="I436" s="54" t="str">
        <x:v>SIM-LAB-03</x:v>
      </x:c>
      <x:c r="J436" s="45" t="str">
        <x:v>人工模拟结果，无对应检测报告</x:v>
      </x:c>
    </x:row>
    <x:row r="437">
      <x:c r="A437" s="54" t="str">
        <x:v>SIM-S072</x:v>
      </x:c>
      <x:c r="B437" s="54" t="str">
        <x:v>As</x:v>
      </x:c>
      <x:c r="C437" s="45" t="str">
        <x:v>97.8</x:v>
      </x:c>
      <x:c r="D437" s="45" t="n">
        <x:v>97.8</x:v>
      </x:c>
      <x:c r="E437" s="54" t="str">
        <x:v>mg/kg</x:v>
      </x:c>
      <x:c r="F437" s="45" t="n">
        <x:v>1</x:v>
      </x:c>
      <x:c r="G437" s="45" t="str">
        <x:v>模拟检测法-As</x:v>
      </x:c>
      <x:c r="H437" s="63" t="n">
        <x:v>46300</x:v>
      </x:c>
      <x:c r="I437" s="54" t="str">
        <x:v>SIM-LAB-03</x:v>
      </x:c>
      <x:c r="J437" s="45" t="str">
        <x:v>人工模拟结果，无对应检测报告</x:v>
      </x:c>
    </x:row>
    <x:row r="438">
      <x:c r="A438" s="54" t="str">
        <x:v>SIM-S073</x:v>
      </x:c>
      <x:c r="B438" s="54" t="str">
        <x:v>Au</x:v>
      </x:c>
      <x:c r="C438" s="45" t="str">
        <x:v>1.472</x:v>
      </x:c>
      <x:c r="D438" s="45" t="n">
        <x:v>1.472</x:v>
      </x:c>
      <x:c r="E438" s="54" t="str">
        <x:v>mg/kg</x:v>
      </x:c>
      <x:c r="F438" s="45" t="n">
        <x:v>0.005</x:v>
      </x:c>
      <x:c r="G438" s="45" t="str">
        <x:v>模拟检测法-Au</x:v>
      </x:c>
      <x:c r="H438" s="63" t="n">
        <x:v>46300</x:v>
      </x:c>
      <x:c r="I438" s="54" t="str">
        <x:v>SIM-LAB-03</x:v>
      </x:c>
      <x:c r="J438" s="45" t="str">
        <x:v>人工模拟结果，无对应检测报告</x:v>
      </x:c>
    </x:row>
    <x:row r="439">
      <x:c r="A439" s="54" t="str">
        <x:v>SIM-S073</x:v>
      </x:c>
      <x:c r="B439" s="54" t="str">
        <x:v>Ag</x:v>
      </x:c>
      <x:c r="C439" s="45" t="str">
        <x:v>12.72</x:v>
      </x:c>
      <x:c r="D439" s="45" t="n">
        <x:v>12.72</x:v>
      </x:c>
      <x:c r="E439" s="54" t="str">
        <x:v>mg/kg</x:v>
      </x:c>
      <x:c r="F439" s="45" t="n">
        <x:v>0.1</x:v>
      </x:c>
      <x:c r="G439" s="45" t="str">
        <x:v>模拟检测法-Ag</x:v>
      </x:c>
      <x:c r="H439" s="63" t="n">
        <x:v>46300</x:v>
      </x:c>
      <x:c r="I439" s="54" t="str">
        <x:v>SIM-LAB-03</x:v>
      </x:c>
      <x:c r="J439" s="45" t="str">
        <x:v>人工模拟结果，无对应检测报告</x:v>
      </x:c>
    </x:row>
    <x:row r="440">
      <x:c r="A440" s="54" t="str">
        <x:v>SIM-S073</x:v>
      </x:c>
      <x:c r="B440" s="54" t="str">
        <x:v>Cu</x:v>
      </x:c>
      <x:c r="C440" s="45" t="str">
        <x:v>0.2028</x:v>
      </x:c>
      <x:c r="D440" s="45" t="n">
        <x:v>0.2028</x:v>
      </x:c>
      <x:c r="E440" s="54" t="str">
        <x:v>%</x:v>
      </x:c>
      <x:c r="F440" s="45" t="n">
        <x:v>0.001</x:v>
      </x:c>
      <x:c r="G440" s="45" t="str">
        <x:v>模拟检测法-Cu</x:v>
      </x:c>
      <x:c r="H440" s="63" t="n">
        <x:v>46300</x:v>
      </x:c>
      <x:c r="I440" s="54" t="str">
        <x:v>SIM-LAB-03</x:v>
      </x:c>
      <x:c r="J440" s="45" t="str">
        <x:v>人工模拟结果，无对应检测报告</x:v>
      </x:c>
    </x:row>
    <x:row r="441">
      <x:c r="A441" s="54" t="str">
        <x:v>SIM-S073</x:v>
      </x:c>
      <x:c r="B441" s="54" t="str">
        <x:v>Pb</x:v>
      </x:c>
      <x:c r="C441" s="45" t="str">
        <x:v>0.8392</x:v>
      </x:c>
      <x:c r="D441" s="45" t="n">
        <x:v>0.8392</x:v>
      </x:c>
      <x:c r="E441" s="54" t="str">
        <x:v>%</x:v>
      </x:c>
      <x:c r="F441" s="45" t="n">
        <x:v>0.001</x:v>
      </x:c>
      <x:c r="G441" s="45" t="str">
        <x:v>模拟检测法-Pb</x:v>
      </x:c>
      <x:c r="H441" s="63" t="n">
        <x:v>46300</x:v>
      </x:c>
      <x:c r="I441" s="54" t="str">
        <x:v>SIM-LAB-03</x:v>
      </x:c>
      <x:c r="J441" s="45" t="str">
        <x:v>人工模拟结果，无对应检测报告</x:v>
      </x:c>
    </x:row>
    <x:row r="442">
      <x:c r="A442" s="54" t="str">
        <x:v>SIM-S073</x:v>
      </x:c>
      <x:c r="B442" s="54" t="str">
        <x:v>Zn</x:v>
      </x:c>
      <x:c r="C442" s="45" t="str">
        <x:v>1.6755</x:v>
      </x:c>
      <x:c r="D442" s="45" t="n">
        <x:v>1.6755</x:v>
      </x:c>
      <x:c r="E442" s="54" t="str">
        <x:v>%</x:v>
      </x:c>
      <x:c r="F442" s="45" t="n">
        <x:v>0.001</x:v>
      </x:c>
      <x:c r="G442" s="45" t="str">
        <x:v>模拟检测法-Zn</x:v>
      </x:c>
      <x:c r="H442" s="63" t="n">
        <x:v>46300</x:v>
      </x:c>
      <x:c r="I442" s="54" t="str">
        <x:v>SIM-LAB-03</x:v>
      </x:c>
      <x:c r="J442" s="45" t="str">
        <x:v>人工模拟结果，无对应检测报告</x:v>
      </x:c>
    </x:row>
    <x:row r="443">
      <x:c r="A443" s="54" t="str">
        <x:v>SIM-S073</x:v>
      </x:c>
      <x:c r="B443" s="54" t="str">
        <x:v>As</x:v>
      </x:c>
      <x:c r="C443" s="45" t="str">
        <x:v>70.3</x:v>
      </x:c>
      <x:c r="D443" s="45" t="n">
        <x:v>70.3</x:v>
      </x:c>
      <x:c r="E443" s="54" t="str">
        <x:v>mg/kg</x:v>
      </x:c>
      <x:c r="F443" s="45" t="n">
        <x:v>1</x:v>
      </x:c>
      <x:c r="G443" s="45" t="str">
        <x:v>模拟检测法-As</x:v>
      </x:c>
      <x:c r="H443" s="63" t="n">
        <x:v>46300</x:v>
      </x:c>
      <x:c r="I443" s="54" t="str">
        <x:v>SIM-LAB-03</x:v>
      </x:c>
      <x:c r="J443" s="45" t="str">
        <x:v>人工模拟结果，无对应检测报告</x:v>
      </x:c>
    </x:row>
    <x:row r="444">
      <x:c r="A444" s="54" t="str">
        <x:v>SIM-S074</x:v>
      </x:c>
      <x:c r="B444" s="54" t="str">
        <x:v>Au</x:v>
      </x:c>
      <x:c r="C444" s="45" t="str">
        <x:v>0.928</x:v>
      </x:c>
      <x:c r="D444" s="45" t="n">
        <x:v>0.928</x:v>
      </x:c>
      <x:c r="E444" s="54" t="str">
        <x:v>mg/kg</x:v>
      </x:c>
      <x:c r="F444" s="45" t="n">
        <x:v>0.005</x:v>
      </x:c>
      <x:c r="G444" s="45" t="str">
        <x:v>模拟检测法-Au</x:v>
      </x:c>
      <x:c r="H444" s="63" t="n">
        <x:v>46300</x:v>
      </x:c>
      <x:c r="I444" s="54" t="str">
        <x:v>SIM-LAB-03</x:v>
      </x:c>
      <x:c r="J444" s="45" t="str">
        <x:v>人工模拟结果，无对应检测报告</x:v>
      </x:c>
    </x:row>
    <x:row r="445">
      <x:c r="A445" s="54" t="str">
        <x:v>SIM-S074</x:v>
      </x:c>
      <x:c r="B445" s="54" t="str">
        <x:v>Ag</x:v>
      </x:c>
      <x:c r="C445" s="45" t="str">
        <x:v>8.3</x:v>
      </x:c>
      <x:c r="D445" s="45" t="n">
        <x:v>8.3</x:v>
      </x:c>
      <x:c r="E445" s="54" t="str">
        <x:v>mg/kg</x:v>
      </x:c>
      <x:c r="F445" s="45" t="n">
        <x:v>0.1</x:v>
      </x:c>
      <x:c r="G445" s="45" t="str">
        <x:v>模拟检测法-Ag</x:v>
      </x:c>
      <x:c r="H445" s="63" t="n">
        <x:v>46300</x:v>
      </x:c>
      <x:c r="I445" s="54" t="str">
        <x:v>SIM-LAB-03</x:v>
      </x:c>
      <x:c r="J445" s="45" t="str">
        <x:v>人工模拟结果，无对应检测报告</x:v>
      </x:c>
    </x:row>
    <x:row r="446">
      <x:c r="A446" s="54" t="str">
        <x:v>SIM-S074</x:v>
      </x:c>
      <x:c r="B446" s="54" t="str">
        <x:v>Cu</x:v>
      </x:c>
      <x:c r="C446" s="45" t="str">
        <x:v>0.1304</x:v>
      </x:c>
      <x:c r="D446" s="45" t="n">
        <x:v>0.1304</x:v>
      </x:c>
      <x:c r="E446" s="54" t="str">
        <x:v>%</x:v>
      </x:c>
      <x:c r="F446" s="45" t="n">
        <x:v>0.001</x:v>
      </x:c>
      <x:c r="G446" s="45" t="str">
        <x:v>模拟检测法-Cu</x:v>
      </x:c>
      <x:c r="H446" s="63" t="n">
        <x:v>46300</x:v>
      </x:c>
      <x:c r="I446" s="54" t="str">
        <x:v>SIM-LAB-03</x:v>
      </x:c>
      <x:c r="J446" s="45" t="str">
        <x:v>人工模拟结果，无对应检测报告</x:v>
      </x:c>
    </x:row>
    <x:row r="447">
      <x:c r="A447" s="54" t="str">
        <x:v>SIM-S074</x:v>
      </x:c>
      <x:c r="B447" s="54" t="str">
        <x:v>Pb</x:v>
      </x:c>
      <x:c r="C447" s="45" t="str">
        <x:v>0.5364</x:v>
      </x:c>
      <x:c r="D447" s="45" t="n">
        <x:v>0.5364</x:v>
      </x:c>
      <x:c r="E447" s="54" t="str">
        <x:v>%</x:v>
      </x:c>
      <x:c r="F447" s="45" t="n">
        <x:v>0.001</x:v>
      </x:c>
      <x:c r="G447" s="45" t="str">
        <x:v>模拟检测法-Pb</x:v>
      </x:c>
      <x:c r="H447" s="63" t="n">
        <x:v>46300</x:v>
      </x:c>
      <x:c r="I447" s="54" t="str">
        <x:v>SIM-LAB-03</x:v>
      </x:c>
      <x:c r="J447" s="45" t="str">
        <x:v>人工模拟结果，无对应检测报告</x:v>
      </x:c>
    </x:row>
    <x:row r="448">
      <x:c r="A448" s="54" t="str">
        <x:v>SIM-S074</x:v>
      </x:c>
      <x:c r="B448" s="54" t="str">
        <x:v>Zn</x:v>
      </x:c>
      <x:c r="C448" s="45" t="str">
        <x:v>1.0841</x:v>
      </x:c>
      <x:c r="D448" s="45" t="n">
        <x:v>1.0841</x:v>
      </x:c>
      <x:c r="E448" s="54" t="str">
        <x:v>%</x:v>
      </x:c>
      <x:c r="F448" s="45" t="n">
        <x:v>0.001</x:v>
      </x:c>
      <x:c r="G448" s="45" t="str">
        <x:v>模拟检测法-Zn</x:v>
      </x:c>
      <x:c r="H448" s="63" t="n">
        <x:v>46300</x:v>
      </x:c>
      <x:c r="I448" s="54" t="str">
        <x:v>SIM-LAB-03</x:v>
      </x:c>
      <x:c r="J448" s="45" t="str">
        <x:v>人工模拟结果，无对应检测报告</x:v>
      </x:c>
    </x:row>
    <x:row r="449">
      <x:c r="A449" s="54" t="str">
        <x:v>SIM-S074</x:v>
      </x:c>
      <x:c r="B449" s="54" t="str">
        <x:v>As</x:v>
      </x:c>
      <x:c r="C449" s="45" t="str">
        <x:v>45.7</x:v>
      </x:c>
      <x:c r="D449" s="45" t="n">
        <x:v>45.7</x:v>
      </x:c>
      <x:c r="E449" s="54" t="str">
        <x:v>mg/kg</x:v>
      </x:c>
      <x:c r="F449" s="45" t="n">
        <x:v>1</x:v>
      </x:c>
      <x:c r="G449" s="45" t="str">
        <x:v>模拟检测法-As</x:v>
      </x:c>
      <x:c r="H449" s="63" t="n">
        <x:v>46300</x:v>
      </x:c>
      <x:c r="I449" s="54" t="str">
        <x:v>SIM-LAB-03</x:v>
      </x:c>
      <x:c r="J449" s="45" t="str">
        <x:v>人工模拟结果，无对应检测报告</x:v>
      </x:c>
    </x:row>
    <x:row r="450">
      <x:c r="A450" s="54" t="str">
        <x:v>SIM-S075</x:v>
      </x:c>
      <x:c r="B450" s="54" t="str">
        <x:v>Au</x:v>
      </x:c>
      <x:c r="C450" s="45" t="str">
        <x:v>0.527</x:v>
      </x:c>
      <x:c r="D450" s="45" t="n">
        <x:v>0.527</x:v>
      </x:c>
      <x:c r="E450" s="54" t="str">
        <x:v>mg/kg</x:v>
      </x:c>
      <x:c r="F450" s="45" t="n">
        <x:v>0.005</x:v>
      </x:c>
      <x:c r="G450" s="45" t="str">
        <x:v>模拟检测法-Au</x:v>
      </x:c>
      <x:c r="H450" s="63" t="n">
        <x:v>46300</x:v>
      </x:c>
      <x:c r="I450" s="54" t="str">
        <x:v>SIM-LAB-03</x:v>
      </x:c>
      <x:c r="J450" s="45" t="str">
        <x:v>人工模拟结果，无对应检测报告</x:v>
      </x:c>
    </x:row>
    <x:row r="451">
      <x:c r="A451" s="54" t="str">
        <x:v>SIM-S075</x:v>
      </x:c>
      <x:c r="B451" s="54" t="str">
        <x:v>Ag</x:v>
      </x:c>
      <x:c r="C451" s="45" t="str">
        <x:v>5.27</x:v>
      </x:c>
      <x:c r="D451" s="45" t="n">
        <x:v>5.27</x:v>
      </x:c>
      <x:c r="E451" s="54" t="str">
        <x:v>mg/kg</x:v>
      </x:c>
      <x:c r="F451" s="45" t="n">
        <x:v>0.1</x:v>
      </x:c>
      <x:c r="G451" s="45" t="str">
        <x:v>模拟检测法-Ag</x:v>
      </x:c>
      <x:c r="H451" s="63" t="n">
        <x:v>46300</x:v>
      </x:c>
      <x:c r="I451" s="54" t="str">
        <x:v>SIM-LAB-03</x:v>
      </x:c>
      <x:c r="J451" s="45" t="str">
        <x:v>人工模拟结果，无对应检测报告</x:v>
      </x:c>
    </x:row>
    <x:row r="452">
      <x:c r="A452" s="54" t="str">
        <x:v>SIM-S075</x:v>
      </x:c>
      <x:c r="B452" s="54" t="str">
        <x:v>Cu</x:v>
      </x:c>
      <x:c r="C452" s="45" t="str">
        <x:v>0.0762</x:v>
      </x:c>
      <x:c r="D452" s="45" t="n">
        <x:v>0.0762</x:v>
      </x:c>
      <x:c r="E452" s="54" t="str">
        <x:v>%</x:v>
      </x:c>
      <x:c r="F452" s="45" t="n">
        <x:v>0.001</x:v>
      </x:c>
      <x:c r="G452" s="45" t="str">
        <x:v>模拟检测法-Cu</x:v>
      </x:c>
      <x:c r="H452" s="63" t="n">
        <x:v>46300</x:v>
      </x:c>
      <x:c r="I452" s="54" t="str">
        <x:v>SIM-LAB-03</x:v>
      </x:c>
      <x:c r="J452" s="45" t="str">
        <x:v>人工模拟结果，无对应检测报告</x:v>
      </x:c>
    </x:row>
    <x:row r="453">
      <x:c r="A453" s="54" t="str">
        <x:v>SIM-S075</x:v>
      </x:c>
      <x:c r="B453" s="54" t="str">
        <x:v>Pb</x:v>
      </x:c>
      <x:c r="C453" s="45" t="str">
        <x:v>0.3086</x:v>
      </x:c>
      <x:c r="D453" s="45" t="n">
        <x:v>0.3086</x:v>
      </x:c>
      <x:c r="E453" s="54" t="str">
        <x:v>%</x:v>
      </x:c>
      <x:c r="F453" s="45" t="n">
        <x:v>0.001</x:v>
      </x:c>
      <x:c r="G453" s="45" t="str">
        <x:v>模拟检测法-Pb</x:v>
      </x:c>
      <x:c r="H453" s="63" t="n">
        <x:v>46300</x:v>
      </x:c>
      <x:c r="I453" s="54" t="str">
        <x:v>SIM-LAB-03</x:v>
      </x:c>
      <x:c r="J453" s="45" t="str">
        <x:v>人工模拟结果，无对应检测报告</x:v>
      </x:c>
    </x:row>
    <x:row r="454">
      <x:c r="A454" s="54" t="str">
        <x:v>SIM-S075</x:v>
      </x:c>
      <x:c r="B454" s="54" t="str">
        <x:v>Zn</x:v>
      </x:c>
      <x:c r="C454" s="45" t="str">
        <x:v>0.6437</x:v>
      </x:c>
      <x:c r="D454" s="45" t="n">
        <x:v>0.6437</x:v>
      </x:c>
      <x:c r="E454" s="54" t="str">
        <x:v>%</x:v>
      </x:c>
      <x:c r="F454" s="45" t="n">
        <x:v>0.001</x:v>
      </x:c>
      <x:c r="G454" s="45" t="str">
        <x:v>模拟检测法-Zn</x:v>
      </x:c>
      <x:c r="H454" s="63" t="n">
        <x:v>46300</x:v>
      </x:c>
      <x:c r="I454" s="54" t="str">
        <x:v>SIM-LAB-03</x:v>
      </x:c>
      <x:c r="J454" s="45" t="str">
        <x:v>人工模拟结果，无对应检测报告</x:v>
      </x:c>
    </x:row>
    <x:row r="455">
      <x:c r="A455" s="54" t="str">
        <x:v>SIM-S075</x:v>
      </x:c>
      <x:c r="B455" s="54" t="str">
        <x:v>As</x:v>
      </x:c>
      <x:c r="C455" s="45" t="str">
        <x:v>27.4</x:v>
      </x:c>
      <x:c r="D455" s="45" t="n">
        <x:v>27.4</x:v>
      </x:c>
      <x:c r="E455" s="54" t="str">
        <x:v>mg/kg</x:v>
      </x:c>
      <x:c r="F455" s="45" t="n">
        <x:v>1</x:v>
      </x:c>
      <x:c r="G455" s="45" t="str">
        <x:v>模拟检测法-As</x:v>
      </x:c>
      <x:c r="H455" s="63" t="n">
        <x:v>46300</x:v>
      </x:c>
      <x:c r="I455" s="54" t="str">
        <x:v>SIM-LAB-03</x:v>
      </x:c>
      <x:c r="J455" s="45" t="str">
        <x:v>人工模拟结果，无对应检测报告</x:v>
      </x:c>
    </x:row>
    <x:row r="456">
      <x:c r="A456" s="54" t="str">
        <x:v>SIM-S076</x:v>
      </x:c>
      <x:c r="B456" s="54" t="str">
        <x:v>Au</x:v>
      </x:c>
      <x:c r="C456" s="45" t="str">
        <x:v>0.285</x:v>
      </x:c>
      <x:c r="D456" s="45" t="n">
        <x:v>0.285</x:v>
      </x:c>
      <x:c r="E456" s="54" t="str">
        <x:v>mg/kg</x:v>
      </x:c>
      <x:c r="F456" s="45" t="n">
        <x:v>0.005</x:v>
      </x:c>
      <x:c r="G456" s="45" t="str">
        <x:v>模拟检测法-Au</x:v>
      </x:c>
      <x:c r="H456" s="63" t="n">
        <x:v>46300</x:v>
      </x:c>
      <x:c r="I456" s="54" t="str">
        <x:v>SIM-LAB-03</x:v>
      </x:c>
      <x:c r="J456" s="45" t="str">
        <x:v>人工模拟结果，无对应检测报告</x:v>
      </x:c>
    </x:row>
    <x:row r="457">
      <x:c r="A457" s="54" t="str">
        <x:v>SIM-S076</x:v>
      </x:c>
      <x:c r="B457" s="54" t="str">
        <x:v>Ag</x:v>
      </x:c>
      <x:c r="C457" s="45" t="str">
        <x:v>3.4</x:v>
      </x:c>
      <x:c r="D457" s="45" t="n">
        <x:v>3.4</x:v>
      </x:c>
      <x:c r="E457" s="54" t="str">
        <x:v>mg/kg</x:v>
      </x:c>
      <x:c r="F457" s="45" t="n">
        <x:v>0.1</x:v>
      </x:c>
      <x:c r="G457" s="45" t="str">
        <x:v>模拟检测法-Ag</x:v>
      </x:c>
      <x:c r="H457" s="63" t="n">
        <x:v>46300</x:v>
      </x:c>
      <x:c r="I457" s="54" t="str">
        <x:v>SIM-LAB-03</x:v>
      </x:c>
      <x:c r="J457" s="45" t="str">
        <x:v>人工模拟结果，无对应检测报告</x:v>
      </x:c>
    </x:row>
    <x:row r="458">
      <x:c r="A458" s="54" t="str">
        <x:v>SIM-S076</x:v>
      </x:c>
      <x:c r="B458" s="54" t="str">
        <x:v>Cu</x:v>
      </x:c>
      <x:c r="C458" s="45" t="str">
        <x:v>0.0418</x:v>
      </x:c>
      <x:c r="D458" s="45" t="n">
        <x:v>0.0418</x:v>
      </x:c>
      <x:c r="E458" s="54" t="str">
        <x:v>%</x:v>
      </x:c>
      <x:c r="F458" s="45" t="n">
        <x:v>0.001</x:v>
      </x:c>
      <x:c r="G458" s="45" t="str">
        <x:v>模拟检测法-Cu</x:v>
      </x:c>
      <x:c r="H458" s="63" t="n">
        <x:v>46300</x:v>
      </x:c>
      <x:c r="I458" s="54" t="str">
        <x:v>SIM-LAB-03</x:v>
      </x:c>
      <x:c r="J458" s="45" t="str">
        <x:v>人工模拟结果，无对应检测报告</x:v>
      </x:c>
    </x:row>
    <x:row r="459">
      <x:c r="A459" s="54" t="str">
        <x:v>SIM-S076</x:v>
      </x:c>
      <x:c r="B459" s="54" t="str">
        <x:v>Pb</x:v>
      </x:c>
      <x:c r="C459" s="45" t="str">
        <x:v>0.1627</x:v>
      </x:c>
      <x:c r="D459" s="45" t="n">
        <x:v>0.1627</x:v>
      </x:c>
      <x:c r="E459" s="54" t="str">
        <x:v>%</x:v>
      </x:c>
      <x:c r="F459" s="45" t="n">
        <x:v>0.001</x:v>
      </x:c>
      <x:c r="G459" s="45" t="str">
        <x:v>模拟检测法-Pb</x:v>
      </x:c>
      <x:c r="H459" s="63" t="n">
        <x:v>46300</x:v>
      </x:c>
      <x:c r="I459" s="54" t="str">
        <x:v>SIM-LAB-03</x:v>
      </x:c>
      <x:c r="J459" s="45" t="str">
        <x:v>人工模拟结果，无对应检测报告</x:v>
      </x:c>
    </x:row>
    <x:row r="460">
      <x:c r="A460" s="54" t="str">
        <x:v>SIM-S076</x:v>
      </x:c>
      <x:c r="B460" s="54" t="str">
        <x:v>Zn</x:v>
      </x:c>
      <x:c r="C460" s="45" t="str">
        <x:v>0.3636</x:v>
      </x:c>
      <x:c r="D460" s="45" t="n">
        <x:v>0.3636</x:v>
      </x:c>
      <x:c r="E460" s="54" t="str">
        <x:v>%</x:v>
      </x:c>
      <x:c r="F460" s="45" t="n">
        <x:v>0.001</x:v>
      </x:c>
      <x:c r="G460" s="45" t="str">
        <x:v>模拟检测法-Zn</x:v>
      </x:c>
      <x:c r="H460" s="63" t="n">
        <x:v>46300</x:v>
      </x:c>
      <x:c r="I460" s="54" t="str">
        <x:v>SIM-LAB-03</x:v>
      </x:c>
      <x:c r="J460" s="45" t="str">
        <x:v>人工模拟结果，无对应检测报告</x:v>
      </x:c>
    </x:row>
    <x:row r="461">
      <x:c r="A461" s="54" t="str">
        <x:v>SIM-S076</x:v>
      </x:c>
      <x:c r="B461" s="54" t="str">
        <x:v>As</x:v>
      </x:c>
      <x:c r="C461" s="45" t="str">
        <x:v>15.9</x:v>
      </x:c>
      <x:c r="D461" s="45" t="n">
        <x:v>15.9</x:v>
      </x:c>
      <x:c r="E461" s="54" t="str">
        <x:v>mg/kg</x:v>
      </x:c>
      <x:c r="F461" s="45" t="n">
        <x:v>1</x:v>
      </x:c>
      <x:c r="G461" s="45" t="str">
        <x:v>模拟检测法-As</x:v>
      </x:c>
      <x:c r="H461" s="63" t="n">
        <x:v>46300</x:v>
      </x:c>
      <x:c r="I461" s="54" t="str">
        <x:v>SIM-LAB-03</x:v>
      </x:c>
      <x:c r="J461" s="45" t="str">
        <x:v>人工模拟结果，无对应检测报告</x:v>
      </x:c>
    </x:row>
    <x:row r="462">
      <x:c r="A462" s="54" t="str">
        <x:v>SIM-S077</x:v>
      </x:c>
      <x:c r="B462" s="54" t="str">
        <x:v>Au</x:v>
      </x:c>
      <x:c r="C462" s="45" t="str">
        <x:v>0.163</x:v>
      </x:c>
      <x:c r="D462" s="45" t="n">
        <x:v>0.163</x:v>
      </x:c>
      <x:c r="E462" s="54" t="str">
        <x:v>mg/kg</x:v>
      </x:c>
      <x:c r="F462" s="45" t="n">
        <x:v>0.005</x:v>
      </x:c>
      <x:c r="G462" s="45" t="str">
        <x:v>模拟检测法-Au</x:v>
      </x:c>
      <x:c r="H462" s="63" t="n">
        <x:v>46300</x:v>
      </x:c>
      <x:c r="I462" s="54" t="str">
        <x:v>SIM-LAB-03</x:v>
      </x:c>
      <x:c r="J462" s="45" t="str">
        <x:v>人工模拟结果，无对应检测报告</x:v>
      </x:c>
    </x:row>
    <x:row r="463">
      <x:c r="A463" s="54" t="str">
        <x:v>SIM-S077</x:v>
      </x:c>
      <x:c r="B463" s="54" t="str">
        <x:v>Ag</x:v>
      </x:c>
      <x:c r="C463" s="45" t="str">
        <x:v>2.17</x:v>
      </x:c>
      <x:c r="D463" s="45" t="n">
        <x:v>2.17</x:v>
      </x:c>
      <x:c r="E463" s="54" t="str">
        <x:v>mg/kg</x:v>
      </x:c>
      <x:c r="F463" s="45" t="n">
        <x:v>0.1</x:v>
      </x:c>
      <x:c r="G463" s="45" t="str">
        <x:v>模拟检测法-Ag</x:v>
      </x:c>
      <x:c r="H463" s="63" t="n">
        <x:v>46300</x:v>
      </x:c>
      <x:c r="I463" s="54" t="str">
        <x:v>SIM-LAB-03</x:v>
      </x:c>
      <x:c r="J463" s="45" t="str">
        <x:v>人工模拟结果，无对应检测报告</x:v>
      </x:c>
    </x:row>
    <x:row r="464">
      <x:c r="A464" s="54" t="str">
        <x:v>SIM-S077</x:v>
      </x:c>
      <x:c r="B464" s="54" t="str">
        <x:v>Cu</x:v>
      </x:c>
      <x:c r="C464" s="45" t="str">
        <x:v>0.0233</x:v>
      </x:c>
      <x:c r="D464" s="45" t="n">
        <x:v>0.0233</x:v>
      </x:c>
      <x:c r="E464" s="54" t="str">
        <x:v>%</x:v>
      </x:c>
      <x:c r="F464" s="45" t="n">
        <x:v>0.001</x:v>
      </x:c>
      <x:c r="G464" s="45" t="str">
        <x:v>模拟检测法-Cu</x:v>
      </x:c>
      <x:c r="H464" s="63" t="n">
        <x:v>46300</x:v>
      </x:c>
      <x:c r="I464" s="54" t="str">
        <x:v>SIM-LAB-03</x:v>
      </x:c>
      <x:c r="J464" s="45" t="str">
        <x:v>人工模拟结果，无对应检测报告</x:v>
      </x:c>
    </x:row>
    <x:row r="465">
      <x:c r="A465" s="54" t="str">
        <x:v>SIM-S077</x:v>
      </x:c>
      <x:c r="B465" s="54" t="str">
        <x:v>Pb</x:v>
      </x:c>
      <x:c r="C465" s="45" t="str">
        <x:v>0.0819</x:v>
      </x:c>
      <x:c r="D465" s="45" t="n">
        <x:v>0.0819</x:v>
      </x:c>
      <x:c r="E465" s="54" t="str">
        <x:v>%</x:v>
      </x:c>
      <x:c r="F465" s="45" t="n">
        <x:v>0.001</x:v>
      </x:c>
      <x:c r="G465" s="45" t="str">
        <x:v>模拟检测法-Pb</x:v>
      </x:c>
      <x:c r="H465" s="63" t="n">
        <x:v>46300</x:v>
      </x:c>
      <x:c r="I465" s="54" t="str">
        <x:v>SIM-LAB-03</x:v>
      </x:c>
      <x:c r="J465" s="45" t="str">
        <x:v>人工模拟结果，无对应检测报告</x:v>
      </x:c>
    </x:row>
    <x:row r="466">
      <x:c r="A466" s="54" t="str">
        <x:v>SIM-S077</x:v>
      </x:c>
      <x:c r="B466" s="54" t="str">
        <x:v>Zn</x:v>
      </x:c>
      <x:c r="C466" s="45" t="str">
        <x:v>0.2073</x:v>
      </x:c>
      <x:c r="D466" s="45" t="n">
        <x:v>0.2073</x:v>
      </x:c>
      <x:c r="E466" s="54" t="str">
        <x:v>%</x:v>
      </x:c>
      <x:c r="F466" s="45" t="n">
        <x:v>0.001</x:v>
      </x:c>
      <x:c r="G466" s="45" t="str">
        <x:v>模拟检测法-Zn</x:v>
      </x:c>
      <x:c r="H466" s="63" t="n">
        <x:v>46300</x:v>
      </x:c>
      <x:c r="I466" s="54" t="str">
        <x:v>SIM-LAB-03</x:v>
      </x:c>
      <x:c r="J466" s="45" t="str">
        <x:v>人工模拟结果，无对应检测报告</x:v>
      </x:c>
    </x:row>
    <x:row r="467">
      <x:c r="A467" s="54" t="str">
        <x:v>SIM-S077</x:v>
      </x:c>
      <x:c r="B467" s="54" t="str">
        <x:v>As</x:v>
      </x:c>
      <x:c r="C467" s="45" t="str">
        <x:v>10.0</x:v>
      </x:c>
      <x:c r="D467" s="45" t="n">
        <x:v>10</x:v>
      </x:c>
      <x:c r="E467" s="54" t="str">
        <x:v>mg/kg</x:v>
      </x:c>
      <x:c r="F467" s="45" t="n">
        <x:v>1</x:v>
      </x:c>
      <x:c r="G467" s="45" t="str">
        <x:v>模拟检测法-As</x:v>
      </x:c>
      <x:c r="H467" s="63" t="n">
        <x:v>46300</x:v>
      </x:c>
      <x:c r="I467" s="54" t="str">
        <x:v>SIM-LAB-03</x:v>
      </x:c>
      <x:c r="J467" s="45" t="str">
        <x:v>人工模拟结果，无对应检测报告</x:v>
      </x:c>
    </x:row>
    <x:row r="468">
      <x:c r="A468" s="54" t="str">
        <x:v>SIM-S078</x:v>
      </x:c>
      <x:c r="B468" s="54" t="str">
        <x:v>Au</x:v>
      </x:c>
      <x:c r="C468" s="45" t="str">
        <x:v>0.104</x:v>
      </x:c>
      <x:c r="D468" s="45" t="n">
        <x:v>0.104</x:v>
      </x:c>
      <x:c r="E468" s="54" t="str">
        <x:v>mg/kg</x:v>
      </x:c>
      <x:c r="F468" s="45" t="n">
        <x:v>0.005</x:v>
      </x:c>
      <x:c r="G468" s="45" t="str">
        <x:v>模拟检测法-Au</x:v>
      </x:c>
      <x:c r="H468" s="63" t="n">
        <x:v>46300</x:v>
      </x:c>
      <x:c r="I468" s="54" t="str">
        <x:v>SIM-LAB-03</x:v>
      </x:c>
      <x:c r="J468" s="45" t="str">
        <x:v>人工模拟结果，无对应检测报告</x:v>
      </x:c>
    </x:row>
    <x:row r="469">
      <x:c r="A469" s="54" t="str">
        <x:v>SIM-S078</x:v>
      </x:c>
      <x:c r="B469" s="54" t="str">
        <x:v>Ag</x:v>
      </x:c>
      <x:c r="C469" s="45" t="str">
        <x:v>1.25</x:v>
      </x:c>
      <x:c r="D469" s="45" t="n">
        <x:v>1.25</x:v>
      </x:c>
      <x:c r="E469" s="54" t="str">
        <x:v>mg/kg</x:v>
      </x:c>
      <x:c r="F469" s="45" t="n">
        <x:v>0.1</x:v>
      </x:c>
      <x:c r="G469" s="45" t="str">
        <x:v>模拟检测法-Ag</x:v>
      </x:c>
      <x:c r="H469" s="63" t="n">
        <x:v>46300</x:v>
      </x:c>
      <x:c r="I469" s="54" t="str">
        <x:v>SIM-LAB-03</x:v>
      </x:c>
      <x:c r="J469" s="45" t="str">
        <x:v>人工模拟结果，无对应检测报告</x:v>
      </x:c>
    </x:row>
    <x:row r="470">
      <x:c r="A470" s="54" t="str">
        <x:v>SIM-S078</x:v>
      </x:c>
      <x:c r="B470" s="54" t="str">
        <x:v>Cu</x:v>
      </x:c>
      <x:c r="C470" s="45" t="str">
        <x:v>0.0151</x:v>
      </x:c>
      <x:c r="D470" s="45" t="n">
        <x:v>0.0151</x:v>
      </x:c>
      <x:c r="E470" s="54" t="str">
        <x:v>%</x:v>
      </x:c>
      <x:c r="F470" s="45" t="n">
        <x:v>0.001</x:v>
      </x:c>
      <x:c r="G470" s="45" t="str">
        <x:v>模拟检测法-Cu</x:v>
      </x:c>
      <x:c r="H470" s="63" t="n">
        <x:v>46300</x:v>
      </x:c>
      <x:c r="I470" s="54" t="str">
        <x:v>SIM-LAB-03</x:v>
      </x:c>
      <x:c r="J470" s="45" t="str">
        <x:v>人工模拟结果，无对应检测报告</x:v>
      </x:c>
    </x:row>
    <x:row r="471">
      <x:c r="A471" s="54" t="str">
        <x:v>SIM-S078</x:v>
      </x:c>
      <x:c r="B471" s="54" t="str">
        <x:v>Pb</x:v>
      </x:c>
      <x:c r="C471" s="45" t="str">
        <x:v>0.043</x:v>
      </x:c>
      <x:c r="D471" s="45" t="n">
        <x:v>0.043</x:v>
      </x:c>
      <x:c r="E471" s="54" t="str">
        <x:v>%</x:v>
      </x:c>
      <x:c r="F471" s="45" t="n">
        <x:v>0.001</x:v>
      </x:c>
      <x:c r="G471" s="45" t="str">
        <x:v>模拟检测法-Pb</x:v>
      </x:c>
      <x:c r="H471" s="63" t="n">
        <x:v>46300</x:v>
      </x:c>
      <x:c r="I471" s="54" t="str">
        <x:v>SIM-LAB-03</x:v>
      </x:c>
      <x:c r="J471" s="45" t="str">
        <x:v>人工模拟结果，无对应检测报告</x:v>
      </x:c>
    </x:row>
    <x:row r="472">
      <x:c r="A472" s="54" t="str">
        <x:v>SIM-S078</x:v>
      </x:c>
      <x:c r="B472" s="54" t="str">
        <x:v>Zn</x:v>
      </x:c>
      <x:c r="C472" s="45" t="str">
        <x:v>0.1269</x:v>
      </x:c>
      <x:c r="D472" s="45" t="n">
        <x:v>0.1269</x:v>
      </x:c>
      <x:c r="E472" s="54" t="str">
        <x:v>%</x:v>
      </x:c>
      <x:c r="F472" s="45" t="n">
        <x:v>0.001</x:v>
      </x:c>
      <x:c r="G472" s="45" t="str">
        <x:v>模拟检测法-Zn</x:v>
      </x:c>
      <x:c r="H472" s="63" t="n">
        <x:v>46300</x:v>
      </x:c>
      <x:c r="I472" s="54" t="str">
        <x:v>SIM-LAB-03</x:v>
      </x:c>
      <x:c r="J472" s="45" t="str">
        <x:v>人工模拟结果，无对应检测报告</x:v>
      </x:c>
    </x:row>
    <x:row r="473">
      <x:c r="A473" s="54" t="str">
        <x:v>SIM-S078</x:v>
      </x:c>
      <x:c r="B473" s="54" t="str">
        <x:v>As</x:v>
      </x:c>
      <x:c r="C473" s="45" t="str">
        <x:v>7.7</x:v>
      </x:c>
      <x:c r="D473" s="45" t="n">
        <x:v>7.7</x:v>
      </x:c>
      <x:c r="E473" s="54" t="str">
        <x:v>mg/kg</x:v>
      </x:c>
      <x:c r="F473" s="45" t="n">
        <x:v>1</x:v>
      </x:c>
      <x:c r="G473" s="45" t="str">
        <x:v>模拟检测法-As</x:v>
      </x:c>
      <x:c r="H473" s="63" t="n">
        <x:v>46300</x:v>
      </x:c>
      <x:c r="I473" s="54" t="str">
        <x:v>SIM-LAB-03</x:v>
      </x:c>
      <x:c r="J473" s="45" t="str">
        <x:v>人工模拟结果，无对应检测报告</x:v>
      </x:c>
    </x:row>
    <x:row r="474">
      <x:c r="A474" s="54" t="str">
        <x:v>SIM-S079</x:v>
      </x:c>
      <x:c r="B474" s="54" t="str">
        <x:v>Au</x:v>
      </x:c>
      <x:c r="C474" s="45" t="str">
        <x:v>0.067</x:v>
      </x:c>
      <x:c r="D474" s="45" t="n">
        <x:v>0.067</x:v>
      </x:c>
      <x:c r="E474" s="54" t="str">
        <x:v>mg/kg</x:v>
      </x:c>
      <x:c r="F474" s="45" t="n">
        <x:v>0.005</x:v>
      </x:c>
      <x:c r="G474" s="45" t="str">
        <x:v>模拟检测法-Au</x:v>
      </x:c>
      <x:c r="H474" s="63" t="n">
        <x:v>46300</x:v>
      </x:c>
      <x:c r="I474" s="54" t="str">
        <x:v>SIM-LAB-03</x:v>
      </x:c>
      <x:c r="J474" s="45" t="str">
        <x:v>人工模拟结果，无对应检测报告</x:v>
      </x:c>
    </x:row>
    <x:row r="475">
      <x:c r="A475" s="54" t="str">
        <x:v>SIM-S079</x:v>
      </x:c>
      <x:c r="B475" s="54" t="str">
        <x:v>Ag</x:v>
      </x:c>
      <x:c r="C475" s="45" t="str">
        <x:v>0.68</x:v>
      </x:c>
      <x:c r="D475" s="45" t="n">
        <x:v>0.68</x:v>
      </x:c>
      <x:c r="E475" s="54" t="str">
        <x:v>mg/kg</x:v>
      </x:c>
      <x:c r="F475" s="45" t="n">
        <x:v>0.1</x:v>
      </x:c>
      <x:c r="G475" s="45" t="str">
        <x:v>模拟检测法-Ag</x:v>
      </x:c>
      <x:c r="H475" s="63" t="n">
        <x:v>46300</x:v>
      </x:c>
      <x:c r="I475" s="54" t="str">
        <x:v>SIM-LAB-03</x:v>
      </x:c>
      <x:c r="J475" s="45" t="str">
        <x:v>人工模拟结果，无对应检测报告</x:v>
      </x:c>
    </x:row>
    <x:row r="476">
      <x:c r="A476" s="54" t="str">
        <x:v>SIM-S079</x:v>
      </x:c>
      <x:c r="B476" s="54" t="str">
        <x:v>Cu</x:v>
      </x:c>
      <x:c r="C476" s="45" t="str">
        <x:v>0.0124</x:v>
      </x:c>
      <x:c r="D476" s="45" t="n">
        <x:v>0.0124</x:v>
      </x:c>
      <x:c r="E476" s="54" t="str">
        <x:v>%</x:v>
      </x:c>
      <x:c r="F476" s="45" t="n">
        <x:v>0.001</x:v>
      </x:c>
      <x:c r="G476" s="45" t="str">
        <x:v>模拟检测法-Cu</x:v>
      </x:c>
      <x:c r="H476" s="63" t="n">
        <x:v>46300</x:v>
      </x:c>
      <x:c r="I476" s="54" t="str">
        <x:v>SIM-LAB-03</x:v>
      </x:c>
      <x:c r="J476" s="45" t="str">
        <x:v>人工模拟结果，无对应检测报告</x:v>
      </x:c>
    </x:row>
    <x:row r="477">
      <x:c r="A477" s="54" t="str">
        <x:v>SIM-S079</x:v>
      </x:c>
      <x:c r="B477" s="54" t="str">
        <x:v>Pb</x:v>
      </x:c>
      <x:c r="C477" s="45" t="str">
        <x:v>0.0265</x:v>
      </x:c>
      <x:c r="D477" s="45" t="n">
        <x:v>0.0265</x:v>
      </x:c>
      <x:c r="E477" s="54" t="str">
        <x:v>%</x:v>
      </x:c>
      <x:c r="F477" s="45" t="n">
        <x:v>0.001</x:v>
      </x:c>
      <x:c r="G477" s="45" t="str">
        <x:v>模拟检测法-Pb</x:v>
      </x:c>
      <x:c r="H477" s="63" t="n">
        <x:v>46300</x:v>
      </x:c>
      <x:c r="I477" s="54" t="str">
        <x:v>SIM-LAB-03</x:v>
      </x:c>
      <x:c r="J477" s="45" t="str">
        <x:v>人工模拟结果，无对应检测报告</x:v>
      </x:c>
    </x:row>
    <x:row r="478">
      <x:c r="A478" s="54" t="str">
        <x:v>SIM-S079</x:v>
      </x:c>
      <x:c r="B478" s="54" t="str">
        <x:v>Zn</x:v>
      </x:c>
      <x:c r="C478" s="45" t="str">
        <x:v>0.0853</x:v>
      </x:c>
      <x:c r="D478" s="45" t="n">
        <x:v>0.0853</x:v>
      </x:c>
      <x:c r="E478" s="54" t="str">
        <x:v>%</x:v>
      </x:c>
      <x:c r="F478" s="45" t="n">
        <x:v>0.001</x:v>
      </x:c>
      <x:c r="G478" s="45" t="str">
        <x:v>模拟检测法-Zn</x:v>
      </x:c>
      <x:c r="H478" s="63" t="n">
        <x:v>46300</x:v>
      </x:c>
      <x:c r="I478" s="54" t="str">
        <x:v>SIM-LAB-03</x:v>
      </x:c>
      <x:c r="J478" s="45" t="str">
        <x:v>人工模拟结果，无对应检测报告</x:v>
      </x:c>
    </x:row>
    <x:row r="479">
      <x:c r="A479" s="54" t="str">
        <x:v>SIM-S079</x:v>
      </x:c>
      <x:c r="B479" s="54" t="str">
        <x:v>As</x:v>
      </x:c>
      <x:c r="C479" s="45" t="str">
        <x:v>7.2</x:v>
      </x:c>
      <x:c r="D479" s="45" t="n">
        <x:v>7.2</x:v>
      </x:c>
      <x:c r="E479" s="54" t="str">
        <x:v>mg/kg</x:v>
      </x:c>
      <x:c r="F479" s="45" t="n">
        <x:v>1</x:v>
      </x:c>
      <x:c r="G479" s="45" t="str">
        <x:v>模拟检测法-As</x:v>
      </x:c>
      <x:c r="H479" s="63" t="n">
        <x:v>46300</x:v>
      </x:c>
      <x:c r="I479" s="54" t="str">
        <x:v>SIM-LAB-03</x:v>
      </x:c>
      <x:c r="J479" s="45" t="str">
        <x:v>人工模拟结果，无对应检测报告</x:v>
      </x:c>
    </x:row>
    <x:row r="480">
      <x:c r="A480" s="54" t="str">
        <x:v>SIM-S080</x:v>
      </x:c>
      <x:c r="B480" s="54" t="str">
        <x:v>Au</x:v>
      </x:c>
      <x:c r="C480" s="45" t="str">
        <x:v>0.04</x:v>
      </x:c>
      <x:c r="D480" s="45" t="n">
        <x:v>0.04</x:v>
      </x:c>
      <x:c r="E480" s="54" t="str">
        <x:v>mg/kg</x:v>
      </x:c>
      <x:c r="F480" s="45" t="n">
        <x:v>0.005</x:v>
      </x:c>
      <x:c r="G480" s="45" t="str">
        <x:v>模拟检测法-Au</x:v>
      </x:c>
      <x:c r="H480" s="63" t="n">
        <x:v>46300</x:v>
      </x:c>
      <x:c r="I480" s="54" t="str">
        <x:v>SIM-LAB-03</x:v>
      </x:c>
      <x:c r="J480" s="45" t="str">
        <x:v>人工模拟结果，无对应检测报告</x:v>
      </x:c>
    </x:row>
    <x:row r="481">
      <x:c r="A481" s="54" t="str">
        <x:v>SIM-S080</x:v>
      </x:c>
      <x:c r="B481" s="54" t="str">
        <x:v>Ag</x:v>
      </x:c>
      <x:c r="C481" s="45" t="str">
        <x:v>0.58</x:v>
      </x:c>
      <x:c r="D481" s="45" t="n">
        <x:v>0.58</x:v>
      </x:c>
      <x:c r="E481" s="54" t="str">
        <x:v>mg/kg</x:v>
      </x:c>
      <x:c r="F481" s="45" t="n">
        <x:v>0.1</x:v>
      </x:c>
      <x:c r="G481" s="45" t="str">
        <x:v>模拟检测法-Ag</x:v>
      </x:c>
      <x:c r="H481" s="63" t="n">
        <x:v>46300</x:v>
      </x:c>
      <x:c r="I481" s="54" t="str">
        <x:v>SIM-LAB-03</x:v>
      </x:c>
      <x:c r="J481" s="45" t="str">
        <x:v>人工模拟结果，无对应检测报告</x:v>
      </x:c>
    </x:row>
    <x:row r="482">
      <x:c r="A482" s="54" t="str">
        <x:v>SIM-S080</x:v>
      </x:c>
      <x:c r="B482" s="54" t="str">
        <x:v>Cu</x:v>
      </x:c>
      <x:c r="C482" s="45" t="str">
        <x:v>0.0122</x:v>
      </x:c>
      <x:c r="D482" s="45" t="n">
        <x:v>0.0122</x:v>
      </x:c>
      <x:c r="E482" s="54" t="str">
        <x:v>%</x:v>
      </x:c>
      <x:c r="F482" s="45" t="n">
        <x:v>0.001</x:v>
      </x:c>
      <x:c r="G482" s="45" t="str">
        <x:v>模拟检测法-Cu</x:v>
      </x:c>
      <x:c r="H482" s="63" t="n">
        <x:v>46300</x:v>
      </x:c>
      <x:c r="I482" s="54" t="str">
        <x:v>SIM-LAB-03</x:v>
      </x:c>
      <x:c r="J482" s="45" t="str">
        <x:v>人工模拟结果，无对应检测报告</x:v>
      </x:c>
    </x:row>
    <x:row r="483">
      <x:c r="A483" s="54" t="str">
        <x:v>SIM-S080</x:v>
      </x:c>
      <x:c r="B483" s="54" t="str">
        <x:v>Pb</x:v>
      </x:c>
      <x:c r="C483" s="45" t="str">
        <x:v>0.0207</x:v>
      </x:c>
      <x:c r="D483" s="45" t="n">
        <x:v>0.0207</x:v>
      </x:c>
      <x:c r="E483" s="54" t="str">
        <x:v>%</x:v>
      </x:c>
      <x:c r="F483" s="45" t="n">
        <x:v>0.001</x:v>
      </x:c>
      <x:c r="G483" s="45" t="str">
        <x:v>模拟检测法-Pb</x:v>
      </x:c>
      <x:c r="H483" s="63" t="n">
        <x:v>46300</x:v>
      </x:c>
      <x:c r="I483" s="54" t="str">
        <x:v>SIM-LAB-03</x:v>
      </x:c>
      <x:c r="J483" s="45" t="str">
        <x:v>人工模拟结果，无对应检测报告</x:v>
      </x:c>
    </x:row>
    <x:row r="484">
      <x:c r="A484" s="54" t="str">
        <x:v>SIM-S080</x:v>
      </x:c>
      <x:c r="B484" s="54" t="str">
        <x:v>Zn</x:v>
      </x:c>
      <x:c r="C484" s="45" t="str">
        <x:v>0.0618</x:v>
      </x:c>
      <x:c r="D484" s="45" t="n">
        <x:v>0.0618</x:v>
      </x:c>
      <x:c r="E484" s="54" t="str">
        <x:v>%</x:v>
      </x:c>
      <x:c r="F484" s="45" t="n">
        <x:v>0.001</x:v>
      </x:c>
      <x:c r="G484" s="45" t="str">
        <x:v>模拟检测法-Zn</x:v>
      </x:c>
      <x:c r="H484" s="63" t="n">
        <x:v>46300</x:v>
      </x:c>
      <x:c r="I484" s="54" t="str">
        <x:v>SIM-LAB-03</x:v>
      </x:c>
      <x:c r="J484" s="45" t="str">
        <x:v>人工模拟结果，无对应检测报告</x:v>
      </x:c>
    </x:row>
    <x:row r="485">
      <x:c r="A485" s="54" t="str">
        <x:v>SIM-S080</x:v>
      </x:c>
      <x:c r="B485" s="54" t="str">
        <x:v>As</x:v>
      </x:c>
      <x:c r="C485" s="45" t="str">
        <x:v>7.6</x:v>
      </x:c>
      <x:c r="D485" s="45" t="n">
        <x:v>7.6</x:v>
      </x:c>
      <x:c r="E485" s="54" t="str">
        <x:v>mg/kg</x:v>
      </x:c>
      <x:c r="F485" s="45" t="n">
        <x:v>1</x:v>
      </x:c>
      <x:c r="G485" s="45" t="str">
        <x:v>模拟检测法-As</x:v>
      </x:c>
      <x:c r="H485" s="63" t="n">
        <x:v>46300</x:v>
      </x:c>
      <x:c r="I485" s="54" t="str">
        <x:v>SIM-LAB-03</x:v>
      </x:c>
      <x:c r="J485" s="45" t="str">
        <x:v>人工模拟结果，无对应检测报告</x:v>
      </x:c>
    </x:row>
    <x:row r="486">
      <x:c r="A486" s="54" t="str">
        <x:v>SIM-S081</x:v>
      </x:c>
      <x:c r="B486" s="54" t="str">
        <x:v>Au</x:v>
      </x:c>
      <x:c r="C486" s="45" t="str">
        <x:v>0.026</x:v>
      </x:c>
      <x:c r="D486" s="45" t="n">
        <x:v>0.026</x:v>
      </x:c>
      <x:c r="E486" s="54" t="str">
        <x:v>mg/kg</x:v>
      </x:c>
      <x:c r="F486" s="45" t="n">
        <x:v>0.005</x:v>
      </x:c>
      <x:c r="G486" s="45" t="str">
        <x:v>模拟检测法-Au</x:v>
      </x:c>
      <x:c r="H486" s="63" t="n">
        <x:v>46300</x:v>
      </x:c>
      <x:c r="I486" s="54" t="str">
        <x:v>SIM-LAB-03</x:v>
      </x:c>
      <x:c r="J486" s="45" t="str">
        <x:v>人工模拟结果，无对应检测报告</x:v>
      </x:c>
    </x:row>
    <x:row r="487">
      <x:c r="A487" s="54" t="str">
        <x:v>SIM-S081</x:v>
      </x:c>
      <x:c r="B487" s="54" t="str">
        <x:v>Ag</x:v>
      </x:c>
      <x:c r="C487" s="45" t="str">
        <x:v>0.87</x:v>
      </x:c>
      <x:c r="D487" s="45" t="n">
        <x:v>0.87</x:v>
      </x:c>
      <x:c r="E487" s="54" t="str">
        <x:v>mg/kg</x:v>
      </x:c>
      <x:c r="F487" s="45" t="n">
        <x:v>0.1</x:v>
      </x:c>
      <x:c r="G487" s="45" t="str">
        <x:v>模拟检测法-Ag</x:v>
      </x:c>
      <x:c r="H487" s="63" t="n">
        <x:v>46300</x:v>
      </x:c>
      <x:c r="I487" s="54" t="str">
        <x:v>SIM-LAB-03</x:v>
      </x:c>
      <x:c r="J487" s="45" t="str">
        <x:v>人工模拟结果，无对应检测报告</x:v>
      </x:c>
    </x:row>
    <x:row r="488">
      <x:c r="A488" s="54" t="str">
        <x:v>SIM-S081</x:v>
      </x:c>
      <x:c r="B488" s="54" t="str">
        <x:v>Cu</x:v>
      </x:c>
      <x:c r="C488" s="45" t="str">
        <x:v>0.0128</x:v>
      </x:c>
      <x:c r="D488" s="45" t="n">
        <x:v>0.0128</x:v>
      </x:c>
      <x:c r="E488" s="54" t="str">
        <x:v>%</x:v>
      </x:c>
      <x:c r="F488" s="45" t="n">
        <x:v>0.001</x:v>
      </x:c>
      <x:c r="G488" s="45" t="str">
        <x:v>模拟检测法-Cu</x:v>
      </x:c>
      <x:c r="H488" s="63" t="n">
        <x:v>46300</x:v>
      </x:c>
      <x:c r="I488" s="54" t="str">
        <x:v>SIM-LAB-03</x:v>
      </x:c>
      <x:c r="J488" s="45" t="str">
        <x:v>人工模拟结果，无对应检测报告</x:v>
      </x:c>
    </x:row>
    <x:row r="489">
      <x:c r="A489" s="54" t="str">
        <x:v>SIM-S081</x:v>
      </x:c>
      <x:c r="B489" s="54" t="str">
        <x:v>Pb</x:v>
      </x:c>
      <x:c r="C489" s="45" t="str">
        <x:v>0.0191</x:v>
      </x:c>
      <x:c r="D489" s="45" t="n">
        <x:v>0.0191</x:v>
      </x:c>
      <x:c r="E489" s="54" t="str">
        <x:v>%</x:v>
      </x:c>
      <x:c r="F489" s="45" t="n">
        <x:v>0.001</x:v>
      </x:c>
      <x:c r="G489" s="45" t="str">
        <x:v>模拟检测法-Pb</x:v>
      </x:c>
      <x:c r="H489" s="63" t="n">
        <x:v>46300</x:v>
      </x:c>
      <x:c r="I489" s="54" t="str">
        <x:v>SIM-LAB-03</x:v>
      </x:c>
      <x:c r="J489" s="45" t="str">
        <x:v>人工模拟结果，无对应检测报告</x:v>
      </x:c>
    </x:row>
    <x:row r="490">
      <x:c r="A490" s="54" t="str">
        <x:v>SIM-S081</x:v>
      </x:c>
      <x:c r="B490" s="54" t="str">
        <x:v>Zn</x:v>
      </x:c>
      <x:c r="C490" s="45" t="str">
        <x:v>0.0481</x:v>
      </x:c>
      <x:c r="D490" s="45" t="n">
        <x:v>0.0481</x:v>
      </x:c>
      <x:c r="E490" s="54" t="str">
        <x:v>%</x:v>
      </x:c>
      <x:c r="F490" s="45" t="n">
        <x:v>0.001</x:v>
      </x:c>
      <x:c r="G490" s="45" t="str">
        <x:v>模拟检测法-Zn</x:v>
      </x:c>
      <x:c r="H490" s="63" t="n">
        <x:v>46300</x:v>
      </x:c>
      <x:c r="I490" s="54" t="str">
        <x:v>SIM-LAB-03</x:v>
      </x:c>
      <x:c r="J490" s="45" t="str">
        <x:v>人工模拟结果，无对应检测报告</x:v>
      </x:c>
    </x:row>
    <x:row r="491">
      <x:c r="A491" s="54" t="str">
        <x:v>SIM-S081</x:v>
      </x:c>
      <x:c r="B491" s="54" t="str">
        <x:v>As</x:v>
      </x:c>
      <x:c r="C491" s="45" t="str">
        <x:v>8.3</x:v>
      </x:c>
      <x:c r="D491" s="45" t="n">
        <x:v>8.3</x:v>
      </x:c>
      <x:c r="E491" s="54" t="str">
        <x:v>mg/kg</x:v>
      </x:c>
      <x:c r="F491" s="45" t="n">
        <x:v>1</x:v>
      </x:c>
      <x:c r="G491" s="45" t="str">
        <x:v>模拟检测法-As</x:v>
      </x:c>
      <x:c r="H491" s="63" t="n">
        <x:v>46300</x:v>
      </x:c>
      <x:c r="I491" s="54" t="str">
        <x:v>SIM-LAB-03</x:v>
      </x:c>
      <x:c r="J491" s="45" t="str">
        <x:v>人工模拟结果，无对应检测报告</x:v>
      </x:c>
    </x:row>
    <x:row r="492">
      <x:c r="A492" s="54" t="str">
        <x:v>SIM-S082</x:v>
      </x:c>
      <x:c r="B492" s="54" t="str">
        <x:v>Au</x:v>
      </x:c>
      <x:c r="C492" s="45" t="str">
        <x:v>0.032</x:v>
      </x:c>
      <x:c r="D492" s="45" t="n">
        <x:v>0.032</x:v>
      </x:c>
      <x:c r="E492" s="54" t="str">
        <x:v>mg/kg</x:v>
      </x:c>
      <x:c r="F492" s="45" t="n">
        <x:v>0.005</x:v>
      </x:c>
      <x:c r="G492" s="45" t="str">
        <x:v>模拟检测法-Au</x:v>
      </x:c>
      <x:c r="H492" s="63" t="n">
        <x:v>46300</x:v>
      </x:c>
      <x:c r="I492" s="54" t="str">
        <x:v>SIM-LAB-03</x:v>
      </x:c>
      <x:c r="J492" s="45" t="str">
        <x:v>人工模拟结果，无对应检测报告</x:v>
      </x:c>
    </x:row>
    <x:row r="493">
      <x:c r="A493" s="54" t="str">
        <x:v>SIM-S082</x:v>
      </x:c>
      <x:c r="B493" s="54" t="str">
        <x:v>Ag</x:v>
      </x:c>
      <x:c r="C493" s="45" t="str">
        <x:v>1.21</x:v>
      </x:c>
      <x:c r="D493" s="45" t="n">
        <x:v>1.21</x:v>
      </x:c>
      <x:c r="E493" s="54" t="str">
        <x:v>mg/kg</x:v>
      </x:c>
      <x:c r="F493" s="45" t="n">
        <x:v>0.1</x:v>
      </x:c>
      <x:c r="G493" s="45" t="str">
        <x:v>模拟检测法-Ag</x:v>
      </x:c>
      <x:c r="H493" s="63" t="n">
        <x:v>46300</x:v>
      </x:c>
      <x:c r="I493" s="54" t="str">
        <x:v>SIM-LAB-03</x:v>
      </x:c>
      <x:c r="J493" s="45" t="str">
        <x:v>人工模拟结果，无对应检测报告</x:v>
      </x:c>
    </x:row>
    <x:row r="494">
      <x:c r="A494" s="54" t="str">
        <x:v>SIM-S082</x:v>
      </x:c>
      <x:c r="B494" s="54" t="str">
        <x:v>Cu</x:v>
      </x:c>
      <x:c r="C494" s="45" t="str">
        <x:v>0.0135</x:v>
      </x:c>
      <x:c r="D494" s="45" t="n">
        <x:v>0.0135</x:v>
      </x:c>
      <x:c r="E494" s="54" t="str">
        <x:v>%</x:v>
      </x:c>
      <x:c r="F494" s="45" t="n">
        <x:v>0.001</x:v>
      </x:c>
      <x:c r="G494" s="45" t="str">
        <x:v>模拟检测法-Cu</x:v>
      </x:c>
      <x:c r="H494" s="63" t="n">
        <x:v>46300</x:v>
      </x:c>
      <x:c r="I494" s="54" t="str">
        <x:v>SIM-LAB-03</x:v>
      </x:c>
      <x:c r="J494" s="45" t="str">
        <x:v>人工模拟结果，无对应检测报告</x:v>
      </x:c>
    </x:row>
    <x:row r="495">
      <x:c r="A495" s="54" t="str">
        <x:v>SIM-S082</x:v>
      </x:c>
      <x:c r="B495" s="54" t="str">
        <x:v>Pb</x:v>
      </x:c>
      <x:c r="C495" s="45" t="str">
        <x:v>0.0194</x:v>
      </x:c>
      <x:c r="D495" s="45" t="n">
        <x:v>0.0194</x:v>
      </x:c>
      <x:c r="E495" s="54" t="str">
        <x:v>%</x:v>
      </x:c>
      <x:c r="F495" s="45" t="n">
        <x:v>0.001</x:v>
      </x:c>
      <x:c r="G495" s="45" t="str">
        <x:v>模拟检测法-Pb</x:v>
      </x:c>
      <x:c r="H495" s="63" t="n">
        <x:v>46300</x:v>
      </x:c>
      <x:c r="I495" s="54" t="str">
        <x:v>SIM-LAB-03</x:v>
      </x:c>
      <x:c r="J495" s="45" t="str">
        <x:v>人工模拟结果，无对应检测报告</x:v>
      </x:c>
    </x:row>
    <x:row r="496">
      <x:c r="A496" s="54" t="str">
        <x:v>SIM-S082</x:v>
      </x:c>
      <x:c r="B496" s="54" t="str">
        <x:v>Zn</x:v>
      </x:c>
      <x:c r="C496" s="45" t="str">
        <x:v>0.0424</x:v>
      </x:c>
      <x:c r="D496" s="45" t="n">
        <x:v>0.0424</x:v>
      </x:c>
      <x:c r="E496" s="54" t="str">
        <x:v>%</x:v>
      </x:c>
      <x:c r="F496" s="45" t="n">
        <x:v>0.001</x:v>
      </x:c>
      <x:c r="G496" s="45" t="str">
        <x:v>模拟检测法-Zn</x:v>
      </x:c>
      <x:c r="H496" s="63" t="n">
        <x:v>46300</x:v>
      </x:c>
      <x:c r="I496" s="54" t="str">
        <x:v>SIM-LAB-03</x:v>
      </x:c>
      <x:c r="J496" s="45" t="str">
        <x:v>人工模拟结果，无对应检测报告</x:v>
      </x:c>
    </x:row>
    <x:row r="497">
      <x:c r="A497" s="54" t="str">
        <x:v>SIM-S082</x:v>
      </x:c>
      <x:c r="B497" s="54" t="str">
        <x:v>As</x:v>
      </x:c>
      <x:c r="C497" s="45" t="str">
        <x:v>9.0</x:v>
      </x:c>
      <x:c r="D497" s="45" t="n">
        <x:v>9</x:v>
      </x:c>
      <x:c r="E497" s="54" t="str">
        <x:v>mg/kg</x:v>
      </x:c>
      <x:c r="F497" s="45" t="n">
        <x:v>1</x:v>
      </x:c>
      <x:c r="G497" s="45" t="str">
        <x:v>模拟检测法-As</x:v>
      </x:c>
      <x:c r="H497" s="63" t="n">
        <x:v>46300</x:v>
      </x:c>
      <x:c r="I497" s="54" t="str">
        <x:v>SIM-LAB-03</x:v>
      </x:c>
      <x:c r="J497" s="45" t="str">
        <x:v>人工模拟结果，无对应检测报告</x:v>
      </x:c>
    </x:row>
    <x:row r="498">
      <x:c r="A498" s="54" t="str">
        <x:v>SIM-S083</x:v>
      </x:c>
      <x:c r="B498" s="54" t="str">
        <x:v>Au</x:v>
      </x:c>
      <x:c r="C498" s="45" t="str">
        <x:v>0.049</x:v>
      </x:c>
      <x:c r="D498" s="45" t="n">
        <x:v>0.049</x:v>
      </x:c>
      <x:c r="E498" s="54" t="str">
        <x:v>mg/kg</x:v>
      </x:c>
      <x:c r="F498" s="45" t="n">
        <x:v>0.005</x:v>
      </x:c>
      <x:c r="G498" s="45" t="str">
        <x:v>模拟检测法-Au</x:v>
      </x:c>
      <x:c r="H498" s="63" t="n">
        <x:v>46300</x:v>
      </x:c>
      <x:c r="I498" s="54" t="str">
        <x:v>SIM-LAB-03</x:v>
      </x:c>
      <x:c r="J498" s="45" t="str">
        <x:v>人工模拟结果，无对应检测报告</x:v>
      </x:c>
    </x:row>
    <x:row r="499">
      <x:c r="A499" s="54" t="str">
        <x:v>SIM-S083</x:v>
      </x:c>
      <x:c r="B499" s="54" t="str">
        <x:v>Ag</x:v>
      </x:c>
      <x:c r="C499" s="45" t="str">
        <x:v>1.28</x:v>
      </x:c>
      <x:c r="D499" s="45" t="n">
        <x:v>1.28</x:v>
      </x:c>
      <x:c r="E499" s="54" t="str">
        <x:v>mg/kg</x:v>
      </x:c>
      <x:c r="F499" s="45" t="n">
        <x:v>0.1</x:v>
      </x:c>
      <x:c r="G499" s="45" t="str">
        <x:v>模拟检测法-Ag</x:v>
      </x:c>
      <x:c r="H499" s="63" t="n">
        <x:v>46300</x:v>
      </x:c>
      <x:c r="I499" s="54" t="str">
        <x:v>SIM-LAB-03</x:v>
      </x:c>
      <x:c r="J499" s="45" t="str">
        <x:v>人工模拟结果，无对应检测报告</x:v>
      </x:c>
    </x:row>
    <x:row r="500">
      <x:c r="A500" s="54" t="str">
        <x:v>SIM-S083</x:v>
      </x:c>
      <x:c r="B500" s="54" t="str">
        <x:v>Cu</x:v>
      </x:c>
      <x:c r="C500" s="45" t="str">
        <x:v>0.014</x:v>
      </x:c>
      <x:c r="D500" s="45" t="n">
        <x:v>0.014</x:v>
      </x:c>
      <x:c r="E500" s="54" t="str">
        <x:v>%</x:v>
      </x:c>
      <x:c r="F500" s="45" t="n">
        <x:v>0.001</x:v>
      </x:c>
      <x:c r="G500" s="45" t="str">
        <x:v>模拟检测法-Cu</x:v>
      </x:c>
      <x:c r="H500" s="63" t="n">
        <x:v>46300</x:v>
      </x:c>
      <x:c r="I500" s="54" t="str">
        <x:v>SIM-LAB-03</x:v>
      </x:c>
      <x:c r="J500" s="45" t="str">
        <x:v>人工模拟结果，无对应检测报告</x:v>
      </x:c>
    </x:row>
    <x:row r="501">
      <x:c r="A501" s="54" t="str">
        <x:v>SIM-S083</x:v>
      </x:c>
      <x:c r="B501" s="54" t="str">
        <x:v>Pb</x:v>
      </x:c>
      <x:c r="C501" s="45" t="str">
        <x:v>0.0203</x:v>
      </x:c>
      <x:c r="D501" s="45" t="n">
        <x:v>0.0203</x:v>
      </x:c>
      <x:c r="E501" s="54" t="str">
        <x:v>%</x:v>
      </x:c>
      <x:c r="F501" s="45" t="n">
        <x:v>0.001</x:v>
      </x:c>
      <x:c r="G501" s="45" t="str">
        <x:v>模拟检测法-Pb</x:v>
      </x:c>
      <x:c r="H501" s="63" t="n">
        <x:v>46300</x:v>
      </x:c>
      <x:c r="I501" s="54" t="str">
        <x:v>SIM-LAB-03</x:v>
      </x:c>
      <x:c r="J501" s="45" t="str">
        <x:v>人工模拟结果，无对应检测报告</x:v>
      </x:c>
    </x:row>
    <x:row r="502">
      <x:c r="A502" s="54" t="str">
        <x:v>SIM-S083</x:v>
      </x:c>
      <x:c r="B502" s="54" t="str">
        <x:v>Zn</x:v>
      </x:c>
      <x:c r="C502" s="45" t="str">
        <x:v>0.0446</x:v>
      </x:c>
      <x:c r="D502" s="45" t="n">
        <x:v>0.0446</x:v>
      </x:c>
      <x:c r="E502" s="54" t="str">
        <x:v>%</x:v>
      </x:c>
      <x:c r="F502" s="45" t="n">
        <x:v>0.001</x:v>
      </x:c>
      <x:c r="G502" s="45" t="str">
        <x:v>模拟检测法-Zn</x:v>
      </x:c>
      <x:c r="H502" s="63" t="n">
        <x:v>46300</x:v>
      </x:c>
      <x:c r="I502" s="54" t="str">
        <x:v>SIM-LAB-03</x:v>
      </x:c>
      <x:c r="J502" s="45" t="str">
        <x:v>人工模拟结果，无对应检测报告</x:v>
      </x:c>
    </x:row>
    <x:row r="503">
      <x:c r="A503" s="54" t="str">
        <x:v>SIM-S083</x:v>
      </x:c>
      <x:c r="B503" s="54" t="str">
        <x:v>As</x:v>
      </x:c>
      <x:c r="C503" s="45" t="str">
        <x:v>9.6</x:v>
      </x:c>
      <x:c r="D503" s="45" t="n">
        <x:v>9.6</x:v>
      </x:c>
      <x:c r="E503" s="54" t="str">
        <x:v>mg/kg</x:v>
      </x:c>
      <x:c r="F503" s="45" t="n">
        <x:v>1</x:v>
      </x:c>
      <x:c r="G503" s="45" t="str">
        <x:v>模拟检测法-As</x:v>
      </x:c>
      <x:c r="H503" s="63" t="n">
        <x:v>46300</x:v>
      </x:c>
      <x:c r="I503" s="54" t="str">
        <x:v>SIM-LAB-03</x:v>
      </x:c>
      <x:c r="J503" s="45" t="str">
        <x:v>人工模拟结果，无对应检测报告</x:v>
      </x:c>
    </x:row>
    <x:row r="504">
      <x:c r="A504" s="54" t="str">
        <x:v>SIM-S084</x:v>
      </x:c>
      <x:c r="B504" s="54" t="str">
        <x:v>Au</x:v>
      </x:c>
      <x:c r="C504" s="45" t="str">
        <x:v>0.06</x:v>
      </x:c>
      <x:c r="D504" s="45" t="n">
        <x:v>0.06</x:v>
      </x:c>
      <x:c r="E504" s="54" t="str">
        <x:v>mg/kg</x:v>
      </x:c>
      <x:c r="F504" s="45" t="n">
        <x:v>0.005</x:v>
      </x:c>
      <x:c r="G504" s="45" t="str">
        <x:v>模拟检测法-Au</x:v>
      </x:c>
      <x:c r="H504" s="63" t="n">
        <x:v>46300</x:v>
      </x:c>
      <x:c r="I504" s="54" t="str">
        <x:v>SIM-LAB-03</x:v>
      </x:c>
      <x:c r="J504" s="45" t="str">
        <x:v>人工模拟结果，无对应检测报告</x:v>
      </x:c>
    </x:row>
    <x:row r="505">
      <x:c r="A505" s="54" t="str">
        <x:v>SIM-S084</x:v>
      </x:c>
      <x:c r="B505" s="54" t="str">
        <x:v>Ag</x:v>
      </x:c>
      <x:c r="C505" s="45" t="str">
        <x:v>1.0</x:v>
      </x:c>
      <x:c r="D505" s="45" t="n">
        <x:v>1</x:v>
      </x:c>
      <x:c r="E505" s="54" t="str">
        <x:v>mg/kg</x:v>
      </x:c>
      <x:c r="F505" s="45" t="n">
        <x:v>0.1</x:v>
      </x:c>
      <x:c r="G505" s="45" t="str">
        <x:v>模拟检测法-Ag</x:v>
      </x:c>
      <x:c r="H505" s="63" t="n">
        <x:v>46300</x:v>
      </x:c>
      <x:c r="I505" s="54" t="str">
        <x:v>SIM-LAB-03</x:v>
      </x:c>
      <x:c r="J505" s="45" t="str">
        <x:v>人工模拟结果，无对应检测报告</x:v>
      </x:c>
    </x:row>
    <x:row r="506">
      <x:c r="A506" s="54" t="str">
        <x:v>SIM-S084</x:v>
      </x:c>
      <x:c r="B506" s="54" t="str">
        <x:v>Cu</x:v>
      </x:c>
      <x:c r="C506" s="45" t="str">
        <x:v>0.0139</x:v>
      </x:c>
      <x:c r="D506" s="45" t="n">
        <x:v>0.0139</x:v>
      </x:c>
      <x:c r="E506" s="54" t="str">
        <x:v>%</x:v>
      </x:c>
      <x:c r="F506" s="45" t="n">
        <x:v>0.001</x:v>
      </x:c>
      <x:c r="G506" s="45" t="str">
        <x:v>模拟检测法-Cu</x:v>
      </x:c>
      <x:c r="H506" s="63" t="n">
        <x:v>46300</x:v>
      </x:c>
      <x:c r="I506" s="54" t="str">
        <x:v>SIM-LAB-03</x:v>
      </x:c>
      <x:c r="J506" s="45" t="str">
        <x:v>人工模拟结果，无对应检测报告</x:v>
      </x:c>
    </x:row>
    <x:row r="507">
      <x:c r="A507" s="54" t="str">
        <x:v>SIM-S084</x:v>
      </x:c>
      <x:c r="B507" s="54" t="str">
        <x:v>Pb</x:v>
      </x:c>
      <x:c r="C507" s="45" t="str">
        <x:v>0.0217</x:v>
      </x:c>
      <x:c r="D507" s="45" t="n">
        <x:v>0.0217</x:v>
      </x:c>
      <x:c r="E507" s="54" t="str">
        <x:v>%</x:v>
      </x:c>
      <x:c r="F507" s="45" t="n">
        <x:v>0.001</x:v>
      </x:c>
      <x:c r="G507" s="45" t="str">
        <x:v>模拟检测法-Pb</x:v>
      </x:c>
      <x:c r="H507" s="63" t="n">
        <x:v>46300</x:v>
      </x:c>
      <x:c r="I507" s="54" t="str">
        <x:v>SIM-LAB-03</x:v>
      </x:c>
      <x:c r="J507" s="45" t="str">
        <x:v>人工模拟结果，无对应检测报告</x:v>
      </x:c>
    </x:row>
    <x:row r="508">
      <x:c r="A508" s="54" t="str">
        <x:v>SIM-S084</x:v>
      </x:c>
      <x:c r="B508" s="54" t="str">
        <x:v>Zn</x:v>
      </x:c>
      <x:c r="C508" s="45" t="str">
        <x:v>0.053</x:v>
      </x:c>
      <x:c r="D508" s="45" t="n">
        <x:v>0.053</x:v>
      </x:c>
      <x:c r="E508" s="54" t="str">
        <x:v>%</x:v>
      </x:c>
      <x:c r="F508" s="45" t="n">
        <x:v>0.001</x:v>
      </x:c>
      <x:c r="G508" s="45" t="str">
        <x:v>模拟检测法-Zn</x:v>
      </x:c>
      <x:c r="H508" s="63" t="n">
        <x:v>46300</x:v>
      </x:c>
      <x:c r="I508" s="54" t="str">
        <x:v>SIM-LAB-03</x:v>
      </x:c>
      <x:c r="J508" s="45" t="str">
        <x:v>人工模拟结果，无对应检测报告</x:v>
      </x:c>
    </x:row>
    <x:row r="509">
      <x:c r="A509" s="54" t="str">
        <x:v>SIM-S084</x:v>
      </x:c>
      <x:c r="B509" s="54" t="str">
        <x:v>As</x:v>
      </x:c>
      <x:c r="C509" s="45" t="str">
        <x:v>9.9</x:v>
      </x:c>
      <x:c r="D509" s="45" t="n">
        <x:v>9.9</x:v>
      </x:c>
      <x:c r="E509" s="54" t="str">
        <x:v>mg/kg</x:v>
      </x:c>
      <x:c r="F509" s="45" t="n">
        <x:v>1</x:v>
      </x:c>
      <x:c r="G509" s="45" t="str">
        <x:v>模拟检测法-As</x:v>
      </x:c>
      <x:c r="H509" s="63" t="n">
        <x:v>46300</x:v>
      </x:c>
      <x:c r="I509" s="54" t="str">
        <x:v>SIM-LAB-03</x:v>
      </x:c>
      <x:c r="J509" s="45" t="str">
        <x:v>人工模拟结果，无对应检测报告</x:v>
      </x:c>
    </x:row>
    <x:row r="510">
      <x:c r="A510" s="54" t="str">
        <x:v>SIM-S085</x:v>
      </x:c>
      <x:c r="B510" s="54" t="str">
        <x:v>Au</x:v>
      </x:c>
      <x:c r="C510" s="45" t="str">
        <x:v>0.056</x:v>
      </x:c>
      <x:c r="D510" s="45" t="n">
        <x:v>0.056</x:v>
      </x:c>
      <x:c r="E510" s="54" t="str">
        <x:v>mg/kg</x:v>
      </x:c>
      <x:c r="F510" s="45" t="n">
        <x:v>0.005</x:v>
      </x:c>
      <x:c r="G510" s="45" t="str">
        <x:v>模拟检测法-Au</x:v>
      </x:c>
      <x:c r="H510" s="63" t="n">
        <x:v>46300</x:v>
      </x:c>
      <x:c r="I510" s="54" t="str">
        <x:v>SIM-LAB-03</x:v>
      </x:c>
      <x:c r="J510" s="45" t="str">
        <x:v>人工模拟结果，无对应检测报告</x:v>
      </x:c>
    </x:row>
    <x:row r="511">
      <x:c r="A511" s="54" t="str">
        <x:v>SIM-S085</x:v>
      </x:c>
      <x:c r="B511" s="54" t="str">
        <x:v>Ag</x:v>
      </x:c>
      <x:c r="C511" s="45" t="str">
        <x:v>0.63</x:v>
      </x:c>
      <x:c r="D511" s="45" t="n">
        <x:v>0.63</x:v>
      </x:c>
      <x:c r="E511" s="54" t="str">
        <x:v>mg/kg</x:v>
      </x:c>
      <x:c r="F511" s="45" t="n">
        <x:v>0.1</x:v>
      </x:c>
      <x:c r="G511" s="45" t="str">
        <x:v>模拟检测法-Ag</x:v>
      </x:c>
      <x:c r="H511" s="63" t="n">
        <x:v>46300</x:v>
      </x:c>
      <x:c r="I511" s="54" t="str">
        <x:v>SIM-LAB-03</x:v>
      </x:c>
      <x:c r="J511" s="45" t="str">
        <x:v>人工模拟结果，无对应检测报告</x:v>
      </x:c>
    </x:row>
    <x:row r="512">
      <x:c r="A512" s="54" t="str">
        <x:v>SIM-S085</x:v>
      </x:c>
      <x:c r="B512" s="54" t="str">
        <x:v>Cu</x:v>
      </x:c>
      <x:c r="C512" s="45" t="str">
        <x:v>0.0135</x:v>
      </x:c>
      <x:c r="D512" s="45" t="n">
        <x:v>0.0135</x:v>
      </x:c>
      <x:c r="E512" s="54" t="str">
        <x:v>%</x:v>
      </x:c>
      <x:c r="F512" s="45" t="n">
        <x:v>0.001</x:v>
      </x:c>
      <x:c r="G512" s="45" t="str">
        <x:v>模拟检测法-Cu</x:v>
      </x:c>
      <x:c r="H512" s="63" t="n">
        <x:v>46300</x:v>
      </x:c>
      <x:c r="I512" s="54" t="str">
        <x:v>SIM-LAB-03</x:v>
      </x:c>
      <x:c r="J512" s="45" t="str">
        <x:v>人工模拟结果，无对应检测报告</x:v>
      </x:c>
    </x:row>
    <x:row r="513">
      <x:c r="A513" s="54" t="str">
        <x:v>SIM-S085</x:v>
      </x:c>
      <x:c r="B513" s="54" t="str">
        <x:v>Pb</x:v>
      </x:c>
      <x:c r="C513" s="45" t="str">
        <x:v>0.0234</x:v>
      </x:c>
      <x:c r="D513" s="45" t="n">
        <x:v>0.0234</x:v>
      </x:c>
      <x:c r="E513" s="54" t="str">
        <x:v>%</x:v>
      </x:c>
      <x:c r="F513" s="45" t="n">
        <x:v>0.001</x:v>
      </x:c>
      <x:c r="G513" s="45" t="str">
        <x:v>模拟检测法-Pb</x:v>
      </x:c>
      <x:c r="H513" s="63" t="n">
        <x:v>46300</x:v>
      </x:c>
      <x:c r="I513" s="54" t="str">
        <x:v>SIM-LAB-03</x:v>
      </x:c>
      <x:c r="J513" s="45" t="str">
        <x:v>人工模拟结果，无对应检测报告</x:v>
      </x:c>
    </x:row>
    <x:row r="514">
      <x:c r="A514" s="54" t="str">
        <x:v>SIM-S085</x:v>
      </x:c>
      <x:c r="B514" s="54" t="str">
        <x:v>Zn</x:v>
      </x:c>
      <x:c r="C514" s="45" t="str">
        <x:v>0.0647</x:v>
      </x:c>
      <x:c r="D514" s="45" t="n">
        <x:v>0.0647</x:v>
      </x:c>
      <x:c r="E514" s="54" t="str">
        <x:v>%</x:v>
      </x:c>
      <x:c r="F514" s="45" t="n">
        <x:v>0.001</x:v>
      </x:c>
      <x:c r="G514" s="45" t="str">
        <x:v>模拟检测法-Zn</x:v>
      </x:c>
      <x:c r="H514" s="63" t="n">
        <x:v>46300</x:v>
      </x:c>
      <x:c r="I514" s="54" t="str">
        <x:v>SIM-LAB-03</x:v>
      </x:c>
      <x:c r="J514" s="45" t="str">
        <x:v>人工模拟结果，无对应检测报告</x:v>
      </x:c>
    </x:row>
    <x:row r="515">
      <x:c r="A515" s="54" t="str">
        <x:v>SIM-S085</x:v>
      </x:c>
      <x:c r="B515" s="54" t="str">
        <x:v>As</x:v>
      </x:c>
      <x:c r="C515" s="45" t="str">
        <x:v>10.0</x:v>
      </x:c>
      <x:c r="D515" s="45" t="n">
        <x:v>10</x:v>
      </x:c>
      <x:c r="E515" s="54" t="str">
        <x:v>mg/kg</x:v>
      </x:c>
      <x:c r="F515" s="45" t="n">
        <x:v>1</x:v>
      </x:c>
      <x:c r="G515" s="45" t="str">
        <x:v>模拟检测法-As</x:v>
      </x:c>
      <x:c r="H515" s="63" t="n">
        <x:v>46300</x:v>
      </x:c>
      <x:c r="I515" s="54" t="str">
        <x:v>SIM-LAB-03</x:v>
      </x:c>
      <x:c r="J515" s="45" t="str">
        <x:v>人工模拟结果，无对应检测报告</x:v>
      </x:c>
    </x:row>
    <x:row r="516">
      <x:c r="A516" s="54" t="str">
        <x:v>SIM-S086</x:v>
      </x:c>
      <x:c r="B516" s="54" t="str">
        <x:v>Au</x:v>
      </x:c>
      <x:c r="C516" s="45" t="str">
        <x:v>0.04</x:v>
      </x:c>
      <x:c r="D516" s="45" t="n">
        <x:v>0.04</x:v>
      </x:c>
      <x:c r="E516" s="54" t="str">
        <x:v>mg/kg</x:v>
      </x:c>
      <x:c r="F516" s="45" t="n">
        <x:v>0.005</x:v>
      </x:c>
      <x:c r="G516" s="45" t="str">
        <x:v>模拟检测法-Au</x:v>
      </x:c>
      <x:c r="H516" s="63" t="n">
        <x:v>46300</x:v>
      </x:c>
      <x:c r="I516" s="54" t="str">
        <x:v>SIM-LAB-03</x:v>
      </x:c>
      <x:c r="J516" s="45" t="str">
        <x:v>人工模拟结果，无对应检测报告</x:v>
      </x:c>
    </x:row>
    <x:row r="517">
      <x:c r="A517" s="54" t="str">
        <x:v>SIM-S086</x:v>
      </x:c>
      <x:c r="B517" s="54" t="str">
        <x:v>Ag</x:v>
      </x:c>
      <x:c r="C517" s="45" t="str">
        <x:v>0.51</x:v>
      </x:c>
      <x:c r="D517" s="45" t="n">
        <x:v>0.51</x:v>
      </x:c>
      <x:c r="E517" s="54" t="str">
        <x:v>mg/kg</x:v>
      </x:c>
      <x:c r="F517" s="45" t="n">
        <x:v>0.1</x:v>
      </x:c>
      <x:c r="G517" s="45" t="str">
        <x:v>模拟检测法-Ag</x:v>
      </x:c>
      <x:c r="H517" s="63" t="n">
        <x:v>46300</x:v>
      </x:c>
      <x:c r="I517" s="54" t="str">
        <x:v>SIM-LAB-03</x:v>
      </x:c>
      <x:c r="J517" s="45" t="str">
        <x:v>人工模拟结果，无对应检测报告</x:v>
      </x:c>
    </x:row>
    <x:row r="518">
      <x:c r="A518" s="54" t="str">
        <x:v>SIM-S086</x:v>
      </x:c>
      <x:c r="B518" s="54" t="str">
        <x:v>Cu</x:v>
      </x:c>
      <x:c r="C518" s="45" t="str">
        <x:v>0.0126</x:v>
      </x:c>
      <x:c r="D518" s="45" t="n">
        <x:v>0.0126</x:v>
      </x:c>
      <x:c r="E518" s="54" t="str">
        <x:v>%</x:v>
      </x:c>
      <x:c r="F518" s="45" t="n">
        <x:v>0.001</x:v>
      </x:c>
      <x:c r="G518" s="45" t="str">
        <x:v>模拟检测法-Cu</x:v>
      </x:c>
      <x:c r="H518" s="63" t="n">
        <x:v>46300</x:v>
      </x:c>
      <x:c r="I518" s="54" t="str">
        <x:v>SIM-LAB-03</x:v>
      </x:c>
      <x:c r="J518" s="45" t="str">
        <x:v>人工模拟结果，无对应检测报告</x:v>
      </x:c>
    </x:row>
    <x:row r="519">
      <x:c r="A519" s="54" t="str">
        <x:v>SIM-S086</x:v>
      </x:c>
      <x:c r="B519" s="54" t="str">
        <x:v>Pb</x:v>
      </x:c>
      <x:c r="C519" s="45" t="str">
        <x:v>0.0252</x:v>
      </x:c>
      <x:c r="D519" s="45" t="n">
        <x:v>0.0252</x:v>
      </x:c>
      <x:c r="E519" s="54" t="str">
        <x:v>%</x:v>
      </x:c>
      <x:c r="F519" s="45" t="n">
        <x:v>0.001</x:v>
      </x:c>
      <x:c r="G519" s="45" t="str">
        <x:v>模拟检测法-Pb</x:v>
      </x:c>
      <x:c r="H519" s="63" t="n">
        <x:v>46300</x:v>
      </x:c>
      <x:c r="I519" s="54" t="str">
        <x:v>SIM-LAB-03</x:v>
      </x:c>
      <x:c r="J519" s="45" t="str">
        <x:v>人工模拟结果，无对应检测报告</x:v>
      </x:c>
    </x:row>
    <x:row r="520">
      <x:c r="A520" s="54" t="str">
        <x:v>SIM-S086</x:v>
      </x:c>
      <x:c r="B520" s="54" t="str">
        <x:v>Zn</x:v>
      </x:c>
      <x:c r="C520" s="45" t="str">
        <x:v>0.0754</x:v>
      </x:c>
      <x:c r="D520" s="45" t="n">
        <x:v>0.0754</x:v>
      </x:c>
      <x:c r="E520" s="54" t="str">
        <x:v>%</x:v>
      </x:c>
      <x:c r="F520" s="45" t="n">
        <x:v>0.001</x:v>
      </x:c>
      <x:c r="G520" s="45" t="str">
        <x:v>模拟检测法-Zn</x:v>
      </x:c>
      <x:c r="H520" s="63" t="n">
        <x:v>46300</x:v>
      </x:c>
      <x:c r="I520" s="54" t="str">
        <x:v>SIM-LAB-03</x:v>
      </x:c>
      <x:c r="J520" s="45" t="str">
        <x:v>人工模拟结果，无对应检测报告</x:v>
      </x:c>
    </x:row>
    <x:row r="521">
      <x:c r="A521" s="54" t="str">
        <x:v>SIM-S086</x:v>
      </x:c>
      <x:c r="B521" s="54" t="str">
        <x:v>As</x:v>
      </x:c>
      <x:c r="C521" s="45" t="str">
        <x:v>9.8</x:v>
      </x:c>
      <x:c r="D521" s="45" t="n">
        <x:v>9.8</x:v>
      </x:c>
      <x:c r="E521" s="54" t="str">
        <x:v>mg/kg</x:v>
      </x:c>
      <x:c r="F521" s="45" t="n">
        <x:v>1</x:v>
      </x:c>
      <x:c r="G521" s="45" t="str">
        <x:v>模拟检测法-As</x:v>
      </x:c>
      <x:c r="H521" s="63" t="n">
        <x:v>46300</x:v>
      </x:c>
      <x:c r="I521" s="54" t="str">
        <x:v>SIM-LAB-03</x:v>
      </x:c>
      <x:c r="J521" s="45" t="str">
        <x:v>人工模拟结果，无对应检测报告</x:v>
      </x:c>
    </x:row>
    <x:row r="522">
      <x:c r="A522" s="54" t="str">
        <x:v>SIM-S087</x:v>
      </x:c>
      <x:c r="B522" s="54" t="str">
        <x:v>Au</x:v>
      </x:c>
      <x:c r="C522" s="45" t="str">
        <x:v>0.026</x:v>
      </x:c>
      <x:c r="D522" s="45" t="n">
        <x:v>0.026</x:v>
      </x:c>
      <x:c r="E522" s="54" t="str">
        <x:v>mg/kg</x:v>
      </x:c>
      <x:c r="F522" s="45" t="n">
        <x:v>0.005</x:v>
      </x:c>
      <x:c r="G522" s="45" t="str">
        <x:v>模拟检测法-Au</x:v>
      </x:c>
      <x:c r="H522" s="63" t="n">
        <x:v>46300</x:v>
      </x:c>
      <x:c r="I522" s="54" t="str">
        <x:v>SIM-LAB-03</x:v>
      </x:c>
      <x:c r="J522" s="45" t="str">
        <x:v>人工模拟结果，无对应检测报告</x:v>
      </x:c>
    </x:row>
    <x:row r="523">
      <x:c r="A523" s="54" t="str">
        <x:v>SIM-S087</x:v>
      </x:c>
      <x:c r="B523" s="54" t="str">
        <x:v>Ag</x:v>
      </x:c>
      <x:c r="C523" s="45" t="str">
        <x:v>0.75</x:v>
      </x:c>
      <x:c r="D523" s="45" t="n">
        <x:v>0.75</x:v>
      </x:c>
      <x:c r="E523" s="54" t="str">
        <x:v>mg/kg</x:v>
      </x:c>
      <x:c r="F523" s="45" t="n">
        <x:v>0.1</x:v>
      </x:c>
      <x:c r="G523" s="45" t="str">
        <x:v>模拟检测法-Ag</x:v>
      </x:c>
      <x:c r="H523" s="63" t="n">
        <x:v>46300</x:v>
      </x:c>
      <x:c r="I523" s="54" t="str">
        <x:v>SIM-LAB-03</x:v>
      </x:c>
      <x:c r="J523" s="45" t="str">
        <x:v>人工模拟结果，无对应检测报告</x:v>
      </x:c>
    </x:row>
    <x:row r="524">
      <x:c r="A524" s="54" t="str">
        <x:v>SIM-S087</x:v>
      </x:c>
      <x:c r="B524" s="54" t="str">
        <x:v>Cu</x:v>
      </x:c>
      <x:c r="C524" s="45" t="str">
        <x:v>0.0115</x:v>
      </x:c>
      <x:c r="D524" s="45" t="n">
        <x:v>0.0115</x:v>
      </x:c>
      <x:c r="E524" s="54" t="str">
        <x:v>%</x:v>
      </x:c>
      <x:c r="F524" s="45" t="n">
        <x:v>0.001</x:v>
      </x:c>
      <x:c r="G524" s="45" t="str">
        <x:v>模拟检测法-Cu</x:v>
      </x:c>
      <x:c r="H524" s="63" t="n">
        <x:v>46300</x:v>
      </x:c>
      <x:c r="I524" s="54" t="str">
        <x:v>SIM-LAB-03</x:v>
      </x:c>
      <x:c r="J524" s="45" t="str">
        <x:v>人工模拟结果，无对应检测报告</x:v>
      </x:c>
    </x:row>
    <x:row r="525">
      <x:c r="A525" s="54" t="str">
        <x:v>SIM-S087</x:v>
      </x:c>
      <x:c r="B525" s="54" t="str">
        <x:v>Pb</x:v>
      </x:c>
      <x:c r="C525" s="45" t="str">
        <x:v>0.0272</x:v>
      </x:c>
      <x:c r="D525" s="45" t="n">
        <x:v>0.0272</x:v>
      </x:c>
      <x:c r="E525" s="54" t="str">
        <x:v>%</x:v>
      </x:c>
      <x:c r="F525" s="45" t="n">
        <x:v>0.001</x:v>
      </x:c>
      <x:c r="G525" s="45" t="str">
        <x:v>模拟检测法-Pb</x:v>
      </x:c>
      <x:c r="H525" s="63" t="n">
        <x:v>46300</x:v>
      </x:c>
      <x:c r="I525" s="54" t="str">
        <x:v>SIM-LAB-03</x:v>
      </x:c>
      <x:c r="J525" s="45" t="str">
        <x:v>人工模拟结果，无对应检测报告</x:v>
      </x:c>
    </x:row>
    <x:row r="526">
      <x:c r="A526" s="54" t="str">
        <x:v>SIM-S087</x:v>
      </x:c>
      <x:c r="B526" s="54" t="str">
        <x:v>Zn</x:v>
      </x:c>
      <x:c r="C526" s="45" t="str">
        <x:v>0.0814</x:v>
      </x:c>
      <x:c r="D526" s="45" t="n">
        <x:v>0.0814</x:v>
      </x:c>
      <x:c r="E526" s="54" t="str">
        <x:v>%</x:v>
      </x:c>
      <x:c r="F526" s="45" t="n">
        <x:v>0.001</x:v>
      </x:c>
      <x:c r="G526" s="45" t="str">
        <x:v>模拟检测法-Zn</x:v>
      </x:c>
      <x:c r="H526" s="63" t="n">
        <x:v>46300</x:v>
      </x:c>
      <x:c r="I526" s="54" t="str">
        <x:v>SIM-LAB-03</x:v>
      </x:c>
      <x:c r="J526" s="45" t="str">
        <x:v>人工模拟结果，无对应检测报告</x:v>
      </x:c>
    </x:row>
    <x:row r="527">
      <x:c r="A527" s="54" t="str">
        <x:v>SIM-S087</x:v>
      </x:c>
      <x:c r="B527" s="54" t="str">
        <x:v>As</x:v>
      </x:c>
      <x:c r="C527" s="45" t="str">
        <x:v>9.4</x:v>
      </x:c>
      <x:c r="D527" s="45" t="n">
        <x:v>9.4</x:v>
      </x:c>
      <x:c r="E527" s="54" t="str">
        <x:v>mg/kg</x:v>
      </x:c>
      <x:c r="F527" s="45" t="n">
        <x:v>1</x:v>
      </x:c>
      <x:c r="G527" s="45" t="str">
        <x:v>模拟检测法-As</x:v>
      </x:c>
      <x:c r="H527" s="63" t="n">
        <x:v>46300</x:v>
      </x:c>
      <x:c r="I527" s="54" t="str">
        <x:v>SIM-LAB-03</x:v>
      </x:c>
      <x:c r="J527" s="45" t="str">
        <x:v>人工模拟结果，无对应检测报告</x:v>
      </x:c>
    </x:row>
    <x:row r="528">
      <x:c r="A528" s="54" t="str">
        <x:v>SIM-S088</x:v>
      </x:c>
      <x:c r="B528" s="54" t="str">
        <x:v>Au</x:v>
      </x:c>
      <x:c r="C528" s="45" t="str">
        <x:v>0.028</x:v>
      </x:c>
      <x:c r="D528" s="45" t="n">
        <x:v>0.028</x:v>
      </x:c>
      <x:c r="E528" s="54" t="str">
        <x:v>mg/kg</x:v>
      </x:c>
      <x:c r="F528" s="45" t="n">
        <x:v>0.005</x:v>
      </x:c>
      <x:c r="G528" s="45" t="str">
        <x:v>模拟检测法-Au</x:v>
      </x:c>
      <x:c r="H528" s="63" t="n">
        <x:v>46300</x:v>
      </x:c>
      <x:c r="I528" s="54" t="str">
        <x:v>SIM-LAB-03</x:v>
      </x:c>
      <x:c r="J528" s="45" t="str">
        <x:v>人工模拟结果，无对应检测报告</x:v>
      </x:c>
    </x:row>
    <x:row r="529">
      <x:c r="A529" s="54" t="str">
        <x:v>SIM-S088</x:v>
      </x:c>
      <x:c r="B529" s="54" t="str">
        <x:v>Ag</x:v>
      </x:c>
      <x:c r="C529" s="45" t="str">
        <x:v>1.13</x:v>
      </x:c>
      <x:c r="D529" s="45" t="n">
        <x:v>1.13</x:v>
      </x:c>
      <x:c r="E529" s="54" t="str">
        <x:v>mg/kg</x:v>
      </x:c>
      <x:c r="F529" s="45" t="n">
        <x:v>0.1</x:v>
      </x:c>
      <x:c r="G529" s="45" t="str">
        <x:v>模拟检测法-Ag</x:v>
      </x:c>
      <x:c r="H529" s="63" t="n">
        <x:v>46300</x:v>
      </x:c>
      <x:c r="I529" s="54" t="str">
        <x:v>SIM-LAB-03</x:v>
      </x:c>
      <x:c r="J529" s="45" t="str">
        <x:v>人工模拟结果，无对应检测报告</x:v>
      </x:c>
    </x:row>
    <x:row r="530">
      <x:c r="A530" s="54" t="str">
        <x:v>SIM-S088</x:v>
      </x:c>
      <x:c r="B530" s="54" t="str">
        <x:v>Cu</x:v>
      </x:c>
      <x:c r="C530" s="45" t="str">
        <x:v>0.0103</x:v>
      </x:c>
      <x:c r="D530" s="45" t="n">
        <x:v>0.0103</x:v>
      </x:c>
      <x:c r="E530" s="54" t="str">
        <x:v>%</x:v>
      </x:c>
      <x:c r="F530" s="45" t="n">
        <x:v>0.001</x:v>
      </x:c>
      <x:c r="G530" s="45" t="str">
        <x:v>模拟检测法-Cu</x:v>
      </x:c>
      <x:c r="H530" s="63" t="n">
        <x:v>46300</x:v>
      </x:c>
      <x:c r="I530" s="54" t="str">
        <x:v>SIM-LAB-03</x:v>
      </x:c>
      <x:c r="J530" s="45" t="str">
        <x:v>人工模拟结果，无对应检测报告</x:v>
      </x:c>
    </x:row>
    <x:row r="531">
      <x:c r="A531" s="54" t="str">
        <x:v>SIM-S088</x:v>
      </x:c>
      <x:c r="B531" s="54" t="str">
        <x:v>Pb</x:v>
      </x:c>
      <x:c r="C531" s="45" t="str">
        <x:v>0.0292</x:v>
      </x:c>
      <x:c r="D531" s="45" t="n">
        <x:v>0.0292</x:v>
      </x:c>
      <x:c r="E531" s="54" t="str">
        <x:v>%</x:v>
      </x:c>
      <x:c r="F531" s="45" t="n">
        <x:v>0.001</x:v>
      </x:c>
      <x:c r="G531" s="45" t="str">
        <x:v>模拟检测法-Pb</x:v>
      </x:c>
      <x:c r="H531" s="63" t="n">
        <x:v>46300</x:v>
      </x:c>
      <x:c r="I531" s="54" t="str">
        <x:v>SIM-LAB-03</x:v>
      </x:c>
      <x:c r="J531" s="45" t="str">
        <x:v>人工模拟结果，无对应检测报告</x:v>
      </x:c>
    </x:row>
    <x:row r="532">
      <x:c r="A532" s="54" t="str">
        <x:v>SIM-S088</x:v>
      </x:c>
      <x:c r="B532" s="54" t="str">
        <x:v>Zn</x:v>
      </x:c>
      <x:c r="C532" s="45" t="str">
        <x:v>0.0807</x:v>
      </x:c>
      <x:c r="D532" s="45" t="n">
        <x:v>0.0807</x:v>
      </x:c>
      <x:c r="E532" s="54" t="str">
        <x:v>%</x:v>
      </x:c>
      <x:c r="F532" s="45" t="n">
        <x:v>0.001</x:v>
      </x:c>
      <x:c r="G532" s="45" t="str">
        <x:v>模拟检测法-Zn</x:v>
      </x:c>
      <x:c r="H532" s="63" t="n">
        <x:v>46300</x:v>
      </x:c>
      <x:c r="I532" s="54" t="str">
        <x:v>SIM-LAB-03</x:v>
      </x:c>
      <x:c r="J532" s="45" t="str">
        <x:v>人工模拟结果，无对应检测报告</x:v>
      </x:c>
    </x:row>
    <x:row r="533">
      <x:c r="A533" s="54" t="str">
        <x:v>SIM-S088</x:v>
      </x:c>
      <x:c r="B533" s="54" t="str">
        <x:v>As</x:v>
      </x:c>
      <x:c r="C533" s="45" t="str">
        <x:v>8.7</x:v>
      </x:c>
      <x:c r="D533" s="45" t="n">
        <x:v>8.7</x:v>
      </x:c>
      <x:c r="E533" s="54" t="str">
        <x:v>mg/kg</x:v>
      </x:c>
      <x:c r="F533" s="45" t="n">
        <x:v>1</x:v>
      </x:c>
      <x:c r="G533" s="45" t="str">
        <x:v>模拟检测法-As</x:v>
      </x:c>
      <x:c r="H533" s="63" t="n">
        <x:v>46300</x:v>
      </x:c>
      <x:c r="I533" s="54" t="str">
        <x:v>SIM-LAB-03</x:v>
      </x:c>
      <x:c r="J533" s="45" t="str">
        <x:v>人工模拟结果，无对应检测报告</x:v>
      </x:c>
    </x:row>
    <x:row r="534">
      <x:c r="A534" s="54" t="str">
        <x:v>SIM-S089</x:v>
      </x:c>
      <x:c r="B534" s="54" t="str">
        <x:v>Au</x:v>
      </x:c>
      <x:c r="C534" s="45" t="str">
        <x:v>0.044</x:v>
      </x:c>
      <x:c r="D534" s="45" t="n">
        <x:v>0.044</x:v>
      </x:c>
      <x:c r="E534" s="54" t="str">
        <x:v>mg/kg</x:v>
      </x:c>
      <x:c r="F534" s="45" t="n">
        <x:v>0.005</x:v>
      </x:c>
      <x:c r="G534" s="45" t="str">
        <x:v>模拟检测法-Au</x:v>
      </x:c>
      <x:c r="H534" s="63" t="n">
        <x:v>46300</x:v>
      </x:c>
      <x:c r="I534" s="54" t="str">
        <x:v>SIM-LAB-03</x:v>
      </x:c>
      <x:c r="J534" s="45" t="str">
        <x:v>人工模拟结果，无对应检测报告</x:v>
      </x:c>
    </x:row>
    <x:row r="535">
      <x:c r="A535" s="54" t="str">
        <x:v>SIM-S089</x:v>
      </x:c>
      <x:c r="B535" s="54" t="str">
        <x:v>Ag</x:v>
      </x:c>
      <x:c r="C535" s="45" t="str">
        <x:v>1.3</x:v>
      </x:c>
      <x:c r="D535" s="45" t="n">
        <x:v>1.3</x:v>
      </x:c>
      <x:c r="E535" s="54" t="str">
        <x:v>mg/kg</x:v>
      </x:c>
      <x:c r="F535" s="45" t="n">
        <x:v>0.1</x:v>
      </x:c>
      <x:c r="G535" s="45" t="str">
        <x:v>模拟检测法-Ag</x:v>
      </x:c>
      <x:c r="H535" s="63" t="n">
        <x:v>46300</x:v>
      </x:c>
      <x:c r="I535" s="54" t="str">
        <x:v>SIM-LAB-03</x:v>
      </x:c>
      <x:c r="J535" s="45" t="str">
        <x:v>人工模拟结果，无对应检测报告</x:v>
      </x:c>
    </x:row>
    <x:row r="536">
      <x:c r="A536" s="54" t="str">
        <x:v>SIM-S089</x:v>
      </x:c>
      <x:c r="B536" s="54" t="str">
        <x:v>Cu</x:v>
      </x:c>
      <x:c r="C536" s="45" t="str">
        <x:v>0.0092</x:v>
      </x:c>
      <x:c r="D536" s="45" t="n">
        <x:v>0.0092</x:v>
      </x:c>
      <x:c r="E536" s="54" t="str">
        <x:v>%</x:v>
      </x:c>
      <x:c r="F536" s="45" t="n">
        <x:v>0.001</x:v>
      </x:c>
      <x:c r="G536" s="45" t="str">
        <x:v>模拟检测法-Cu</x:v>
      </x:c>
      <x:c r="H536" s="63" t="n">
        <x:v>46300</x:v>
      </x:c>
      <x:c r="I536" s="54" t="str">
        <x:v>SIM-LAB-03</x:v>
      </x:c>
      <x:c r="J536" s="45" t="str">
        <x:v>人工模拟结果，无对应检测报告</x:v>
      </x:c>
    </x:row>
    <x:row r="537">
      <x:c r="A537" s="54" t="str">
        <x:v>SIM-S089</x:v>
      </x:c>
      <x:c r="B537" s="54" t="str">
        <x:v>Pb</x:v>
      </x:c>
      <x:c r="C537" s="45" t="str">
        <x:v>0.0312</x:v>
      </x:c>
      <x:c r="D537" s="45" t="n">
        <x:v>0.0312</x:v>
      </x:c>
      <x:c r="E537" s="54" t="str">
        <x:v>%</x:v>
      </x:c>
      <x:c r="F537" s="45" t="n">
        <x:v>0.001</x:v>
      </x:c>
      <x:c r="G537" s="45" t="str">
        <x:v>模拟检测法-Pb</x:v>
      </x:c>
      <x:c r="H537" s="63" t="n">
        <x:v>46300</x:v>
      </x:c>
      <x:c r="I537" s="54" t="str">
        <x:v>SIM-LAB-03</x:v>
      </x:c>
      <x:c r="J537" s="45" t="str">
        <x:v>人工模拟结果，无对应检测报告</x:v>
      </x:c>
    </x:row>
    <x:row r="538">
      <x:c r="A538" s="54" t="str">
        <x:v>SIM-S089</x:v>
      </x:c>
      <x:c r="B538" s="54" t="str">
        <x:v>Zn</x:v>
      </x:c>
      <x:c r="C538" s="45" t="str">
        <x:v>0.0734</x:v>
      </x:c>
      <x:c r="D538" s="45" t="n">
        <x:v>0.0734</x:v>
      </x:c>
      <x:c r="E538" s="54" t="str">
        <x:v>%</x:v>
      </x:c>
      <x:c r="F538" s="45" t="n">
        <x:v>0.001</x:v>
      </x:c>
      <x:c r="G538" s="45" t="str">
        <x:v>模拟检测法-Zn</x:v>
      </x:c>
      <x:c r="H538" s="63" t="n">
        <x:v>46300</x:v>
      </x:c>
      <x:c r="I538" s="54" t="str">
        <x:v>SIM-LAB-03</x:v>
      </x:c>
      <x:c r="J538" s="45" t="str">
        <x:v>人工模拟结果，无对应检测报告</x:v>
      </x:c>
    </x:row>
    <x:row r="539">
      <x:c r="A539" s="54" t="str">
        <x:v>SIM-S089</x:v>
      </x:c>
      <x:c r="B539" s="54" t="str">
        <x:v>As</x:v>
      </x:c>
      <x:c r="C539" s="45" t="str">
        <x:v>7.9</x:v>
      </x:c>
      <x:c r="D539" s="45" t="n">
        <x:v>7.9</x:v>
      </x:c>
      <x:c r="E539" s="54" t="str">
        <x:v>mg/kg</x:v>
      </x:c>
      <x:c r="F539" s="45" t="n">
        <x:v>1</x:v>
      </x:c>
      <x:c r="G539" s="45" t="str">
        <x:v>模拟检测法-As</x:v>
      </x:c>
      <x:c r="H539" s="63" t="n">
        <x:v>46300</x:v>
      </x:c>
      <x:c r="I539" s="54" t="str">
        <x:v>SIM-LAB-03</x:v>
      </x:c>
      <x:c r="J539" s="45" t="str">
        <x:v>人工模拟结果，无对应检测报告</x:v>
      </x:c>
    </x:row>
    <x:row r="540">
      <x:c r="A540" s="54" t="str">
        <x:v>SIM-S090</x:v>
      </x:c>
      <x:c r="B540" s="54" t="str">
        <x:v>Au</x:v>
      </x:c>
      <x:c r="C540" s="45" t="str">
        <x:v>0.058</x:v>
      </x:c>
      <x:c r="D540" s="45" t="n">
        <x:v>0.058</x:v>
      </x:c>
      <x:c r="E540" s="54" t="str">
        <x:v>mg/kg</x:v>
      </x:c>
      <x:c r="F540" s="45" t="n">
        <x:v>0.005</x:v>
      </x:c>
      <x:c r="G540" s="45" t="str">
        <x:v>模拟检测法-Au</x:v>
      </x:c>
      <x:c r="H540" s="63" t="n">
        <x:v>46300</x:v>
      </x:c>
      <x:c r="I540" s="54" t="str">
        <x:v>SIM-LAB-03</x:v>
      </x:c>
      <x:c r="J540" s="45" t="str">
        <x:v>人工模拟结果，无对应检测报告</x:v>
      </x:c>
    </x:row>
    <x:row r="541">
      <x:c r="A541" s="54" t="str">
        <x:v>SIM-S090</x:v>
      </x:c>
      <x:c r="B541" s="54" t="str">
        <x:v>Ag</x:v>
      </x:c>
      <x:c r="C541" s="45" t="str">
        <x:v>1.1</x:v>
      </x:c>
      <x:c r="D541" s="45" t="n">
        <x:v>1.1</x:v>
      </x:c>
      <x:c r="E541" s="54" t="str">
        <x:v>mg/kg</x:v>
      </x:c>
      <x:c r="F541" s="45" t="n">
        <x:v>0.1</x:v>
      </x:c>
      <x:c r="G541" s="45" t="str">
        <x:v>模拟检测法-Ag</x:v>
      </x:c>
      <x:c r="H541" s="63" t="n">
        <x:v>46300</x:v>
      </x:c>
      <x:c r="I541" s="54" t="str">
        <x:v>SIM-LAB-03</x:v>
      </x:c>
      <x:c r="J541" s="45" t="str">
        <x:v>人工模拟结果，无对应检测报告</x:v>
      </x:c>
    </x:row>
    <x:row r="542">
      <x:c r="A542" s="54" t="str">
        <x:v>SIM-S090</x:v>
      </x:c>
      <x:c r="B542" s="54" t="str">
        <x:v>Cu</x:v>
      </x:c>
      <x:c r="C542" s="45" t="str">
        <x:v>0.0084</x:v>
      </x:c>
      <x:c r="D542" s="45" t="n">
        <x:v>0.0084</x:v>
      </x:c>
      <x:c r="E542" s="54" t="str">
        <x:v>%</x:v>
      </x:c>
      <x:c r="F542" s="45" t="n">
        <x:v>0.001</x:v>
      </x:c>
      <x:c r="G542" s="45" t="str">
        <x:v>模拟检测法-Cu</x:v>
      </x:c>
      <x:c r="H542" s="63" t="n">
        <x:v>46300</x:v>
      </x:c>
      <x:c r="I542" s="54" t="str">
        <x:v>SIM-LAB-03</x:v>
      </x:c>
      <x:c r="J542" s="45" t="str">
        <x:v>人工模拟结果，无对应检测报告</x:v>
      </x:c>
    </x:row>
    <x:row r="543">
      <x:c r="A543" s="54" t="str">
        <x:v>SIM-S090</x:v>
      </x:c>
      <x:c r="B543" s="54" t="str">
        <x:v>Pb</x:v>
      </x:c>
      <x:c r="C543" s="45" t="str">
        <x:v>0.033</x:v>
      </x:c>
      <x:c r="D543" s="45" t="n">
        <x:v>0.033</x:v>
      </x:c>
      <x:c r="E543" s="54" t="str">
        <x:v>%</x:v>
      </x:c>
      <x:c r="F543" s="45" t="n">
        <x:v>0.001</x:v>
      </x:c>
      <x:c r="G543" s="45" t="str">
        <x:v>模拟检测法-Pb</x:v>
      </x:c>
      <x:c r="H543" s="63" t="n">
        <x:v>46300</x:v>
      </x:c>
      <x:c r="I543" s="54" t="str">
        <x:v>SIM-LAB-03</x:v>
      </x:c>
      <x:c r="J543" s="45" t="str">
        <x:v>人工模拟结果，无对应检测报告</x:v>
      </x:c>
    </x:row>
    <x:row r="544">
      <x:c r="A544" s="54" t="str">
        <x:v>SIM-S090</x:v>
      </x:c>
      <x:c r="B544" s="54" t="str">
        <x:v>Zn</x:v>
      </x:c>
      <x:c r="C544" s="45" t="str">
        <x:v>0.0622</x:v>
      </x:c>
      <x:c r="D544" s="45" t="n">
        <x:v>0.0622</x:v>
      </x:c>
      <x:c r="E544" s="54" t="str">
        <x:v>%</x:v>
      </x:c>
      <x:c r="F544" s="45" t="n">
        <x:v>0.001</x:v>
      </x:c>
      <x:c r="G544" s="45" t="str">
        <x:v>模拟检测法-Zn</x:v>
      </x:c>
      <x:c r="H544" s="63" t="n">
        <x:v>46300</x:v>
      </x:c>
      <x:c r="I544" s="54" t="str">
        <x:v>SIM-LAB-03</x:v>
      </x:c>
      <x:c r="J544" s="45" t="str">
        <x:v>人工模拟结果，无对应检测报告</x:v>
      </x:c>
    </x:row>
    <x:row r="545">
      <x:c r="A545" s="54" t="str">
        <x:v>SIM-S090</x:v>
      </x:c>
      <x:c r="B545" s="54" t="str">
        <x:v>As</x:v>
      </x:c>
      <x:c r="C545" s="45" t="str">
        <x:v>7.0</x:v>
      </x:c>
      <x:c r="D545" s="45" t="n">
        <x:v>7</x:v>
      </x:c>
      <x:c r="E545" s="54" t="str">
        <x:v>mg/kg</x:v>
      </x:c>
      <x:c r="F545" s="45" t="n">
        <x:v>1</x:v>
      </x:c>
      <x:c r="G545" s="45" t="str">
        <x:v>模拟检测法-As</x:v>
      </x:c>
      <x:c r="H545" s="63" t="n">
        <x:v>46300</x:v>
      </x:c>
      <x:c r="I545" s="54" t="str">
        <x:v>SIM-LAB-03</x:v>
      </x:c>
      <x:c r="J545" s="45" t="str">
        <x:v>人工模拟结果，无对应检测报告</x:v>
      </x:c>
    </x:row>
    <x:row r="546">
      <x:c r="A546" s="54" t="str">
        <x:v>SIM-S091</x:v>
      </x:c>
      <x:c r="B546" s="54" t="str">
        <x:v>Au</x:v>
      </x:c>
      <x:c r="C546" s="45" t="str">
        <x:v>0.059</x:v>
      </x:c>
      <x:c r="D546" s="45" t="n">
        <x:v>0.059</x:v>
      </x:c>
      <x:c r="E546" s="54" t="str">
        <x:v>mg/kg</x:v>
      </x:c>
      <x:c r="F546" s="45" t="n">
        <x:v>0.005</x:v>
      </x:c>
      <x:c r="G546" s="45" t="str">
        <x:v>模拟检测法-Au</x:v>
      </x:c>
      <x:c r="H546" s="63" t="n">
        <x:v>46301</x:v>
      </x:c>
      <x:c r="I546" s="54" t="str">
        <x:v>SIM-LAB-04</x:v>
      </x:c>
      <x:c r="J546" s="45" t="str">
        <x:v>人工模拟结果，无对应检测报告</x:v>
      </x:c>
    </x:row>
    <x:row r="547">
      <x:c r="A547" s="54" t="str">
        <x:v>SIM-S091</x:v>
      </x:c>
      <x:c r="B547" s="54" t="str">
        <x:v>Ag</x:v>
      </x:c>
      <x:c r="C547" s="45" t="str">
        <x:v>0.72</x:v>
      </x:c>
      <x:c r="D547" s="45" t="n">
        <x:v>0.72</x:v>
      </x:c>
      <x:c r="E547" s="54" t="str">
        <x:v>mg/kg</x:v>
      </x:c>
      <x:c r="F547" s="45" t="n">
        <x:v>0.1</x:v>
      </x:c>
      <x:c r="G547" s="45" t="str">
        <x:v>模拟检测法-Ag</x:v>
      </x:c>
      <x:c r="H547" s="63" t="n">
        <x:v>46301</x:v>
      </x:c>
      <x:c r="I547" s="54" t="str">
        <x:v>SIM-LAB-04</x:v>
      </x:c>
      <x:c r="J547" s="45" t="str">
        <x:v>人工模拟结果，无对应检测报告</x:v>
      </x:c>
    </x:row>
    <x:row r="548">
      <x:c r="A548" s="54" t="str">
        <x:v>SIM-S091</x:v>
      </x:c>
      <x:c r="B548" s="54" t="str">
        <x:v>Cu</x:v>
      </x:c>
      <x:c r="C548" s="45" t="str">
        <x:v>0.008</x:v>
      </x:c>
      <x:c r="D548" s="45" t="n">
        <x:v>0.008</x:v>
      </x:c>
      <x:c r="E548" s="54" t="str">
        <x:v>%</x:v>
      </x:c>
      <x:c r="F548" s="45" t="n">
        <x:v>0.001</x:v>
      </x:c>
      <x:c r="G548" s="45" t="str">
        <x:v>模拟检测法-Cu</x:v>
      </x:c>
      <x:c r="H548" s="63" t="n">
        <x:v>46301</x:v>
      </x:c>
      <x:c r="I548" s="54" t="str">
        <x:v>SIM-LAB-04</x:v>
      </x:c>
      <x:c r="J548" s="45" t="str">
        <x:v>人工模拟结果，无对应检测报告</x:v>
      </x:c>
    </x:row>
    <x:row r="549">
      <x:c r="A549" s="54" t="str">
        <x:v>SIM-S091</x:v>
      </x:c>
      <x:c r="B549" s="54" t="str">
        <x:v>Pb</x:v>
      </x:c>
      <x:c r="C549" s="45" t="str">
        <x:v>0.0346</x:v>
      </x:c>
      <x:c r="D549" s="45" t="n">
        <x:v>0.0346</x:v>
      </x:c>
      <x:c r="E549" s="54" t="str">
        <x:v>%</x:v>
      </x:c>
      <x:c r="F549" s="45" t="n">
        <x:v>0.001</x:v>
      </x:c>
      <x:c r="G549" s="45" t="str">
        <x:v>模拟检测法-Pb</x:v>
      </x:c>
      <x:c r="H549" s="63" t="n">
        <x:v>46301</x:v>
      </x:c>
      <x:c r="I549" s="54" t="str">
        <x:v>SIM-LAB-04</x:v>
      </x:c>
      <x:c r="J549" s="45" t="str">
        <x:v>人工模拟结果，无对应检测报告</x:v>
      </x:c>
    </x:row>
    <x:row r="550">
      <x:c r="A550" s="54" t="str">
        <x:v>SIM-S091</x:v>
      </x:c>
      <x:c r="B550" s="54" t="str">
        <x:v>Zn</x:v>
      </x:c>
      <x:c r="C550" s="45" t="str">
        <x:v>0.0509</x:v>
      </x:c>
      <x:c r="D550" s="45" t="n">
        <x:v>0.0509</x:v>
      </x:c>
      <x:c r="E550" s="54" t="str">
        <x:v>%</x:v>
      </x:c>
      <x:c r="F550" s="45" t="n">
        <x:v>0.001</x:v>
      </x:c>
      <x:c r="G550" s="45" t="str">
        <x:v>模拟检测法-Zn</x:v>
      </x:c>
      <x:c r="H550" s="63" t="n">
        <x:v>46301</x:v>
      </x:c>
      <x:c r="I550" s="54" t="str">
        <x:v>SIM-LAB-04</x:v>
      </x:c>
      <x:c r="J550" s="45" t="str">
        <x:v>人工模拟结果，无对应检测报告</x:v>
      </x:c>
    </x:row>
    <x:row r="551">
      <x:c r="A551" s="54" t="str">
        <x:v>SIM-S091</x:v>
      </x:c>
      <x:c r="B551" s="54" t="str">
        <x:v>As</x:v>
      </x:c>
      <x:c r="C551" s="45" t="str">
        <x:v>6.1</x:v>
      </x:c>
      <x:c r="D551" s="45" t="n">
        <x:v>6.1</x:v>
      </x:c>
      <x:c r="E551" s="54" t="str">
        <x:v>mg/kg</x:v>
      </x:c>
      <x:c r="F551" s="45" t="n">
        <x:v>1</x:v>
      </x:c>
      <x:c r="G551" s="45" t="str">
        <x:v>模拟检测法-As</x:v>
      </x:c>
      <x:c r="H551" s="63" t="n">
        <x:v>46301</x:v>
      </x:c>
      <x:c r="I551" s="54" t="str">
        <x:v>SIM-LAB-04</x:v>
      </x:c>
      <x:c r="J551" s="45" t="str">
        <x:v>人工模拟结果，无对应检测报告</x:v>
      </x:c>
    </x:row>
    <x:row r="552">
      <x:c r="A552" s="54" t="str">
        <x:v>SIM-S092</x:v>
      </x:c>
      <x:c r="B552" s="54" t="str">
        <x:v>Au</x:v>
      </x:c>
      <x:c r="C552" s="45" t="str">
        <x:v>0.045</x:v>
      </x:c>
      <x:c r="D552" s="45" t="n">
        <x:v>0.045</x:v>
      </x:c>
      <x:c r="E552" s="54" t="str">
        <x:v>mg/kg</x:v>
      </x:c>
      <x:c r="F552" s="45" t="n">
        <x:v>0.005</x:v>
      </x:c>
      <x:c r="G552" s="45" t="str">
        <x:v>模拟检测法-Au</x:v>
      </x:c>
      <x:c r="H552" s="63" t="n">
        <x:v>46301</x:v>
      </x:c>
      <x:c r="I552" s="54" t="str">
        <x:v>SIM-LAB-04</x:v>
      </x:c>
      <x:c r="J552" s="45" t="str">
        <x:v>人工模拟结果，无对应检测报告</x:v>
      </x:c>
    </x:row>
    <x:row r="553">
      <x:c r="A553" s="54" t="str">
        <x:v>SIM-S092</x:v>
      </x:c>
      <x:c r="B553" s="54" t="str">
        <x:v>Ag</x:v>
      </x:c>
      <x:c r="C553" s="45" t="str">
        <x:v>0.5</x:v>
      </x:c>
      <x:c r="D553" s="45" t="n">
        <x:v>0.5</x:v>
      </x:c>
      <x:c r="E553" s="54" t="str">
        <x:v>mg/kg</x:v>
      </x:c>
      <x:c r="F553" s="45" t="n">
        <x:v>0.1</x:v>
      </x:c>
      <x:c r="G553" s="45" t="str">
        <x:v>模拟检测法-Ag</x:v>
      </x:c>
      <x:c r="H553" s="63" t="n">
        <x:v>46301</x:v>
      </x:c>
      <x:c r="I553" s="54" t="str">
        <x:v>SIM-LAB-04</x:v>
      </x:c>
      <x:c r="J553" s="45" t="str">
        <x:v>人工模拟结果，无对应检测报告</x:v>
      </x:c>
    </x:row>
    <x:row r="554">
      <x:c r="A554" s="54" t="str">
        <x:v>SIM-S092</x:v>
      </x:c>
      <x:c r="B554" s="54" t="str">
        <x:v>Cu</x:v>
      </x:c>
      <x:c r="C554" s="45" t="str">
        <x:v>0.0081</x:v>
      </x:c>
      <x:c r="D554" s="45" t="n">
        <x:v>0.0081</x:v>
      </x:c>
      <x:c r="E554" s="54" t="str">
        <x:v>%</x:v>
      </x:c>
      <x:c r="F554" s="45" t="n">
        <x:v>0.001</x:v>
      </x:c>
      <x:c r="G554" s="45" t="str">
        <x:v>模拟检测法-Cu</x:v>
      </x:c>
      <x:c r="H554" s="63" t="n">
        <x:v>46301</x:v>
      </x:c>
      <x:c r="I554" s="54" t="str">
        <x:v>SIM-LAB-04</x:v>
      </x:c>
      <x:c r="J554" s="45" t="str">
        <x:v>人工模拟结果，无对应检测报告</x:v>
      </x:c>
    </x:row>
    <x:row r="555">
      <x:c r="A555" s="54" t="str">
        <x:v>SIM-S092</x:v>
      </x:c>
      <x:c r="B555" s="54" t="str">
        <x:v>Pb</x:v>
      </x:c>
      <x:c r="C555" s="45" t="str">
        <x:v>0.0361</x:v>
      </x:c>
      <x:c r="D555" s="45" t="n">
        <x:v>0.0361</x:v>
      </x:c>
      <x:c r="E555" s="54" t="str">
        <x:v>%</x:v>
      </x:c>
      <x:c r="F555" s="45" t="n">
        <x:v>0.001</x:v>
      </x:c>
      <x:c r="G555" s="45" t="str">
        <x:v>模拟检测法-Pb</x:v>
      </x:c>
      <x:c r="H555" s="63" t="n">
        <x:v>46301</x:v>
      </x:c>
      <x:c r="I555" s="54" t="str">
        <x:v>SIM-LAB-04</x:v>
      </x:c>
      <x:c r="J555" s="45" t="str">
        <x:v>人工模拟结果，无对应检测报告</x:v>
      </x:c>
    </x:row>
    <x:row r="556">
      <x:c r="A556" s="54" t="str">
        <x:v>SIM-S092</x:v>
      </x:c>
      <x:c r="B556" s="54" t="str">
        <x:v>Zn</x:v>
      </x:c>
      <x:c r="C556" s="45" t="str">
        <x:v>0.0437</x:v>
      </x:c>
      <x:c r="D556" s="45" t="n">
        <x:v>0.0437</x:v>
      </x:c>
      <x:c r="E556" s="54" t="str">
        <x:v>%</x:v>
      </x:c>
      <x:c r="F556" s="45" t="n">
        <x:v>0.001</x:v>
      </x:c>
      <x:c r="G556" s="45" t="str">
        <x:v>模拟检测法-Zn</x:v>
      </x:c>
      <x:c r="H556" s="63" t="n">
        <x:v>46301</x:v>
      </x:c>
      <x:c r="I556" s="54" t="str">
        <x:v>SIM-LAB-04</x:v>
      </x:c>
      <x:c r="J556" s="45" t="str">
        <x:v>人工模拟结果，无对应检测报告</x:v>
      </x:c>
    </x:row>
    <x:row r="557">
      <x:c r="A557" s="54" t="str">
        <x:v>SIM-S092</x:v>
      </x:c>
      <x:c r="B557" s="54" t="str">
        <x:v>As</x:v>
      </x:c>
      <x:c r="C557" s="45" t="str">
        <x:v>5.3</x:v>
      </x:c>
      <x:c r="D557" s="45" t="n">
        <x:v>5.3</x:v>
      </x:c>
      <x:c r="E557" s="54" t="str">
        <x:v>mg/kg</x:v>
      </x:c>
      <x:c r="F557" s="45" t="n">
        <x:v>1</x:v>
      </x:c>
      <x:c r="G557" s="45" t="str">
        <x:v>模拟检测法-As</x:v>
      </x:c>
      <x:c r="H557" s="63" t="n">
        <x:v>46301</x:v>
      </x:c>
      <x:c r="I557" s="54" t="str">
        <x:v>SIM-LAB-04</x:v>
      </x:c>
      <x:c r="J557" s="45" t="str">
        <x:v>人工模拟结果，无对应检测报告</x:v>
      </x:c>
    </x:row>
    <x:row r="558">
      <x:c r="A558" s="54" t="str">
        <x:v>SIM-S093</x:v>
      </x:c>
      <x:c r="B558" s="54" t="str">
        <x:v>Au</x:v>
      </x:c>
      <x:c r="C558" s="45" t="str">
        <x:v>&lt;0.005</x:v>
      </x:c>
      <x:c r="D558" s="45"/>
      <x:c r="E558" s="54" t="str">
        <x:v>mg/kg</x:v>
      </x:c>
      <x:c r="F558" s="45" t="n">
        <x:v>0.005</x:v>
      </x:c>
      <x:c r="G558" s="45" t="str">
        <x:v>模拟检测法-Au</x:v>
      </x:c>
      <x:c r="H558" s="63" t="n">
        <x:v>46301</x:v>
      </x:c>
      <x:c r="I558" s="54" t="str">
        <x:v>SIM-LAB-04</x:v>
      </x:c>
      <x:c r="J558" s="45" t="str">
        <x:v>人工模拟结果，无对应检测报告</x:v>
      </x:c>
    </x:row>
    <x:row r="559">
      <x:c r="A559" s="54" t="str">
        <x:v>SIM-S093</x:v>
      </x:c>
      <x:c r="B559" s="54" t="str">
        <x:v>Ag</x:v>
      </x:c>
      <x:c r="C559" s="45" t="str">
        <x:v>0.66</x:v>
      </x:c>
      <x:c r="D559" s="45" t="n">
        <x:v>0.66</x:v>
      </x:c>
      <x:c r="E559" s="54" t="str">
        <x:v>mg/kg</x:v>
      </x:c>
      <x:c r="F559" s="45" t="n">
        <x:v>0.1</x:v>
      </x:c>
      <x:c r="G559" s="45" t="str">
        <x:v>模拟检测法-Ag</x:v>
      </x:c>
      <x:c r="H559" s="63" t="n">
        <x:v>46301</x:v>
      </x:c>
      <x:c r="I559" s="54" t="str">
        <x:v>SIM-LAB-04</x:v>
      </x:c>
      <x:c r="J559" s="45" t="str">
        <x:v>人工模拟结果，无对应检测报告</x:v>
      </x:c>
    </x:row>
    <x:row r="560">
      <x:c r="A560" s="54" t="str">
        <x:v>SIM-S093</x:v>
      </x:c>
      <x:c r="B560" s="54" t="str">
        <x:v>Cu</x:v>
      </x:c>
      <x:c r="C560" s="45" t="str">
        <x:v>0.0088</x:v>
      </x:c>
      <x:c r="D560" s="45" t="n">
        <x:v>0.0088</x:v>
      </x:c>
      <x:c r="E560" s="54" t="str">
        <x:v>%</x:v>
      </x:c>
      <x:c r="F560" s="45" t="n">
        <x:v>0.001</x:v>
      </x:c>
      <x:c r="G560" s="45" t="str">
        <x:v>模拟检测法-Cu</x:v>
      </x:c>
      <x:c r="H560" s="63" t="n">
        <x:v>46301</x:v>
      </x:c>
      <x:c r="I560" s="54" t="str">
        <x:v>SIM-LAB-04</x:v>
      </x:c>
      <x:c r="J560" s="45" t="str">
        <x:v>人工模拟结果，无对应检测报告</x:v>
      </x:c>
    </x:row>
    <x:row r="561">
      <x:c r="A561" s="54" t="str">
        <x:v>SIM-S093</x:v>
      </x:c>
      <x:c r="B561" s="54" t="str">
        <x:v>Pb</x:v>
      </x:c>
      <x:c r="C561" s="45" t="str">
        <x:v>0.0375</x:v>
      </x:c>
      <x:c r="D561" s="45" t="n">
        <x:v>0.0375</x:v>
      </x:c>
      <x:c r="E561" s="54" t="str">
        <x:v>%</x:v>
      </x:c>
      <x:c r="F561" s="45" t="n">
        <x:v>0.001</x:v>
      </x:c>
      <x:c r="G561" s="45" t="str">
        <x:v>模拟检测法-Pb</x:v>
      </x:c>
      <x:c r="H561" s="63" t="n">
        <x:v>46301</x:v>
      </x:c>
      <x:c r="I561" s="54" t="str">
        <x:v>SIM-LAB-04</x:v>
      </x:c>
      <x:c r="J561" s="45" t="str">
        <x:v>人工模拟结果，无对应检测报告</x:v>
      </x:c>
    </x:row>
    <x:row r="562">
      <x:c r="A562" s="54" t="str">
        <x:v>SIM-S093</x:v>
      </x:c>
      <x:c r="B562" s="54" t="str">
        <x:v>Zn</x:v>
      </x:c>
      <x:c r="C562" s="45" t="str">
        <x:v>0.0434</x:v>
      </x:c>
      <x:c r="D562" s="45" t="n">
        <x:v>0.0434</x:v>
      </x:c>
      <x:c r="E562" s="54" t="str">
        <x:v>%</x:v>
      </x:c>
      <x:c r="F562" s="45" t="n">
        <x:v>0.001</x:v>
      </x:c>
      <x:c r="G562" s="45" t="str">
        <x:v>模拟检测法-Zn</x:v>
      </x:c>
      <x:c r="H562" s="63" t="n">
        <x:v>46301</x:v>
      </x:c>
      <x:c r="I562" s="54" t="str">
        <x:v>SIM-LAB-04</x:v>
      </x:c>
      <x:c r="J562" s="45" t="str">
        <x:v>人工模拟结果，无对应检测报告</x:v>
      </x:c>
    </x:row>
    <x:row r="563">
      <x:c r="A563" s="54" t="str">
        <x:v>SIM-S093</x:v>
      </x:c>
      <x:c r="B563" s="54" t="str">
        <x:v>As</x:v>
      </x:c>
      <x:c r="C563" s="45" t="str">
        <x:v>4.7</x:v>
      </x:c>
      <x:c r="D563" s="45" t="n">
        <x:v>4.7</x:v>
      </x:c>
      <x:c r="E563" s="54" t="str">
        <x:v>mg/kg</x:v>
      </x:c>
      <x:c r="F563" s="45" t="n">
        <x:v>1</x:v>
      </x:c>
      <x:c r="G563" s="45" t="str">
        <x:v>模拟检测法-As</x:v>
      </x:c>
      <x:c r="H563" s="63" t="n">
        <x:v>46301</x:v>
      </x:c>
      <x:c r="I563" s="54" t="str">
        <x:v>SIM-LAB-04</x:v>
      </x:c>
      <x:c r="J563" s="45" t="str">
        <x:v>人工模拟结果，无对应检测报告</x:v>
      </x:c>
    </x:row>
    <x:row r="564">
      <x:c r="A564" s="54" t="str">
        <x:v>SIM-S094</x:v>
      </x:c>
      <x:c r="B564" s="54" t="str">
        <x:v>Au</x:v>
      </x:c>
      <x:c r="C564" s="45" t="str">
        <x:v>0.029</x:v>
      </x:c>
      <x:c r="D564" s="45" t="n">
        <x:v>0.029</x:v>
      </x:c>
      <x:c r="E564" s="54" t="str">
        <x:v>mg/kg</x:v>
      </x:c>
      <x:c r="F564" s="45" t="n">
        <x:v>0.005</x:v>
      </x:c>
      <x:c r="G564" s="45" t="str">
        <x:v>模拟检测法-Au</x:v>
      </x:c>
      <x:c r="H564" s="63" t="n">
        <x:v>46301</x:v>
      </x:c>
      <x:c r="I564" s="54" t="str">
        <x:v>SIM-LAB-04</x:v>
      </x:c>
      <x:c r="J564" s="45" t="str">
        <x:v>人工模拟结果，无对应检测报告</x:v>
      </x:c>
    </x:row>
    <x:row r="565">
      <x:c r="A565" s="54" t="str">
        <x:v>SIM-S094</x:v>
      </x:c>
      <x:c r="B565" s="54" t="str">
        <x:v>Ag</x:v>
      </x:c>
      <x:c r="C565" s="45" t="str">
        <x:v>1.05</x:v>
      </x:c>
      <x:c r="D565" s="45" t="n">
        <x:v>1.05</x:v>
      </x:c>
      <x:c r="E565" s="54" t="str">
        <x:v>mg/kg</x:v>
      </x:c>
      <x:c r="F565" s="45" t="n">
        <x:v>0.1</x:v>
      </x:c>
      <x:c r="G565" s="45" t="str">
        <x:v>模拟检测法-Ag</x:v>
      </x:c>
      <x:c r="H565" s="63" t="n">
        <x:v>46301</x:v>
      </x:c>
      <x:c r="I565" s="54" t="str">
        <x:v>SIM-LAB-04</x:v>
      </x:c>
      <x:c r="J565" s="45" t="str">
        <x:v>人工模拟结果，无对应检测报告</x:v>
      </x:c>
    </x:row>
    <x:row r="566">
      <x:c r="A566" s="54" t="str">
        <x:v>SIM-S094</x:v>
      </x:c>
      <x:c r="B566" s="54" t="str">
        <x:v>Cu</x:v>
      </x:c>
      <x:c r="C566" s="45" t="str">
        <x:v>0.0099</x:v>
      </x:c>
      <x:c r="D566" s="45" t="n">
        <x:v>0.0099</x:v>
      </x:c>
      <x:c r="E566" s="54" t="str">
        <x:v>%</x:v>
      </x:c>
      <x:c r="F566" s="45" t="n">
        <x:v>0.001</x:v>
      </x:c>
      <x:c r="G566" s="45" t="str">
        <x:v>模拟检测法-Cu</x:v>
      </x:c>
      <x:c r="H566" s="63" t="n">
        <x:v>46301</x:v>
      </x:c>
      <x:c r="I566" s="54" t="str">
        <x:v>SIM-LAB-04</x:v>
      </x:c>
      <x:c r="J566" s="45" t="str">
        <x:v>人工模拟结果，无对应检测报告</x:v>
      </x:c>
    </x:row>
    <x:row r="567">
      <x:c r="A567" s="54" t="str">
        <x:v>SIM-S094</x:v>
      </x:c>
      <x:c r="B567" s="54" t="str">
        <x:v>Pb</x:v>
      </x:c>
      <x:c r="C567" s="45" t="str">
        <x:v>0.0392</x:v>
      </x:c>
      <x:c r="D567" s="45" t="n">
        <x:v>0.0392</x:v>
      </x:c>
      <x:c r="E567" s="54" t="str">
        <x:v>%</x:v>
      </x:c>
      <x:c r="F567" s="45" t="n">
        <x:v>0.001</x:v>
      </x:c>
      <x:c r="G567" s="45" t="str">
        <x:v>模拟检测法-Pb</x:v>
      </x:c>
      <x:c r="H567" s="63" t="n">
        <x:v>46301</x:v>
      </x:c>
      <x:c r="I567" s="54" t="str">
        <x:v>SIM-LAB-04</x:v>
      </x:c>
      <x:c r="J567" s="45" t="str">
        <x:v>人工模拟结果，无对应检测报告</x:v>
      </x:c>
    </x:row>
    <x:row r="568">
      <x:c r="A568" s="54" t="str">
        <x:v>SIM-S094</x:v>
      </x:c>
      <x:c r="B568" s="54" t="str">
        <x:v>Zn</x:v>
      </x:c>
      <x:c r="C568" s="45" t="str">
        <x:v>0.0514</x:v>
      </x:c>
      <x:c r="D568" s="45" t="n">
        <x:v>0.0514</x:v>
      </x:c>
      <x:c r="E568" s="54" t="str">
        <x:v>%</x:v>
      </x:c>
      <x:c r="F568" s="45" t="n">
        <x:v>0.001</x:v>
      </x:c>
      <x:c r="G568" s="45" t="str">
        <x:v>模拟检测法-Zn</x:v>
      </x:c>
      <x:c r="H568" s="63" t="n">
        <x:v>46301</x:v>
      </x:c>
      <x:c r="I568" s="54" t="str">
        <x:v>SIM-LAB-04</x:v>
      </x:c>
      <x:c r="J568" s="45" t="str">
        <x:v>人工模拟结果，无对应检测报告</x:v>
      </x:c>
    </x:row>
    <x:row r="569">
      <x:c r="A569" s="54" t="str">
        <x:v>SIM-S094</x:v>
      </x:c>
      <x:c r="B569" s="54" t="str">
        <x:v>As</x:v>
      </x:c>
      <x:c r="C569" s="45" t="str">
        <x:v>未检出</x:v>
      </x:c>
      <x:c r="D569" s="45"/>
      <x:c r="E569" s="54" t="str">
        <x:v>mg/kg</x:v>
      </x:c>
      <x:c r="F569" s="45" t="n">
        <x:v>1</x:v>
      </x:c>
      <x:c r="G569" s="45" t="str">
        <x:v>模拟检测法-As</x:v>
      </x:c>
      <x:c r="H569" s="63" t="n">
        <x:v>46301</x:v>
      </x:c>
      <x:c r="I569" s="54" t="str">
        <x:v>SIM-LAB-04</x:v>
      </x:c>
      <x:c r="J569" s="45" t="str">
        <x:v>人工模拟结果，无对应检测报告</x:v>
      </x:c>
    </x:row>
    <x:row r="570">
      <x:c r="A570" s="54" t="str">
        <x:v>SIM-S095</x:v>
      </x:c>
      <x:c r="B570" s="54" t="str">
        <x:v>Au</x:v>
      </x:c>
      <x:c r="C570" s="45" t="str">
        <x:v>0.047</x:v>
      </x:c>
      <x:c r="D570" s="45" t="n">
        <x:v>0.047</x:v>
      </x:c>
      <x:c r="E570" s="54" t="str">
        <x:v>mg/kg</x:v>
      </x:c>
      <x:c r="F570" s="45" t="n">
        <x:v>0.005</x:v>
      </x:c>
      <x:c r="G570" s="45" t="str">
        <x:v>模拟检测法-Au</x:v>
      </x:c>
      <x:c r="H570" s="63" t="n">
        <x:v>46301</x:v>
      </x:c>
      <x:c r="I570" s="54" t="str">
        <x:v>SIM-LAB-04</x:v>
      </x:c>
      <x:c r="J570" s="45" t="str">
        <x:v>人工模拟结果，无对应检测报告</x:v>
      </x:c>
    </x:row>
    <x:row r="571">
      <x:c r="A571" s="54" t="str">
        <x:v>SIM-S095</x:v>
      </x:c>
      <x:c r="B571" s="54" t="str">
        <x:v>Ag</x:v>
      </x:c>
      <x:c r="C571" s="45" t="str">
        <x:v>1.36</x:v>
      </x:c>
      <x:c r="D571" s="45" t="n">
        <x:v>1.36</x:v>
      </x:c>
      <x:c r="E571" s="54" t="str">
        <x:v>mg/kg</x:v>
      </x:c>
      <x:c r="F571" s="45" t="n">
        <x:v>0.1</x:v>
      </x:c>
      <x:c r="G571" s="45" t="str">
        <x:v>模拟检测法-Ag</x:v>
      </x:c>
      <x:c r="H571" s="63" t="n">
        <x:v>46301</x:v>
      </x:c>
      <x:c r="I571" s="54" t="str">
        <x:v>SIM-LAB-04</x:v>
      </x:c>
      <x:c r="J571" s="45" t="str">
        <x:v>人工模拟结果，无对应检测报告</x:v>
      </x:c>
    </x:row>
    <x:row r="572">
      <x:c r="A572" s="54" t="str">
        <x:v>SIM-S095</x:v>
      </x:c>
      <x:c r="B572" s="54" t="str">
        <x:v>Cu</x:v>
      </x:c>
      <x:c r="C572" s="45" t="str">
        <x:v>0.0118</x:v>
      </x:c>
      <x:c r="D572" s="45" t="n">
        <x:v>0.0118</x:v>
      </x:c>
      <x:c r="E572" s="54" t="str">
        <x:v>%</x:v>
      </x:c>
      <x:c r="F572" s="45" t="n">
        <x:v>0.001</x:v>
      </x:c>
      <x:c r="G572" s="45" t="str">
        <x:v>模拟检测法-Cu</x:v>
      </x:c>
      <x:c r="H572" s="63" t="n">
        <x:v>46301</x:v>
      </x:c>
      <x:c r="I572" s="54" t="str">
        <x:v>SIM-LAB-04</x:v>
      </x:c>
      <x:c r="J572" s="45" t="str">
        <x:v>人工模拟结果，无对应检测报告</x:v>
      </x:c>
    </x:row>
    <x:row r="573">
      <x:c r="A573" s="54" t="str">
        <x:v>SIM-S095</x:v>
      </x:c>
      <x:c r="B573" s="54" t="str">
        <x:v>Pb</x:v>
      </x:c>
      <x:c r="C573" s="45" t="str">
        <x:v>0.0426</x:v>
      </x:c>
      <x:c r="D573" s="45" t="n">
        <x:v>0.0426</x:v>
      </x:c>
      <x:c r="E573" s="54" t="str">
        <x:v>%</x:v>
      </x:c>
      <x:c r="F573" s="45" t="n">
        <x:v>0.001</x:v>
      </x:c>
      <x:c r="G573" s="45" t="str">
        <x:v>模拟检测法-Pb</x:v>
      </x:c>
      <x:c r="H573" s="63" t="n">
        <x:v>46301</x:v>
      </x:c>
      <x:c r="I573" s="54" t="str">
        <x:v>SIM-LAB-04</x:v>
      </x:c>
      <x:c r="J573" s="45" t="str">
        <x:v>人工模拟结果，无对应检测报告</x:v>
      </x:c>
    </x:row>
    <x:row r="574">
      <x:c r="A574" s="54" t="str">
        <x:v>SIM-S095</x:v>
      </x:c>
      <x:c r="B574" s="54" t="str">
        <x:v>Zn</x:v>
      </x:c>
      <x:c r="C574" s="45" t="str">
        <x:v>0.0682</x:v>
      </x:c>
      <x:c r="D574" s="45" t="n">
        <x:v>0.0682</x:v>
      </x:c>
      <x:c r="E574" s="54" t="str">
        <x:v>%</x:v>
      </x:c>
      <x:c r="F574" s="45" t="n">
        <x:v>0.001</x:v>
      </x:c>
      <x:c r="G574" s="45" t="str">
        <x:v>模拟检测法-Zn</x:v>
      </x:c>
      <x:c r="H574" s="63" t="n">
        <x:v>46301</x:v>
      </x:c>
      <x:c r="I574" s="54" t="str">
        <x:v>SIM-LAB-04</x:v>
      </x:c>
      <x:c r="J574" s="45" t="str">
        <x:v>人工模拟结果，无对应检测报告</x:v>
      </x:c>
    </x:row>
    <x:row r="575">
      <x:c r="A575" s="54" t="str">
        <x:v>SIM-S095</x:v>
      </x:c>
      <x:c r="B575" s="54" t="str">
        <x:v>As</x:v>
      </x:c>
      <x:c r="C575" s="45" t="str">
        <x:v>4.4</x:v>
      </x:c>
      <x:c r="D575" s="45" t="n">
        <x:v>4.4</x:v>
      </x:c>
      <x:c r="E575" s="54" t="str">
        <x:v>mg/kg</x:v>
      </x:c>
      <x:c r="F575" s="45" t="n">
        <x:v>1</x:v>
      </x:c>
      <x:c r="G575" s="45" t="str">
        <x:v>模拟检测法-As</x:v>
      </x:c>
      <x:c r="H575" s="63" t="n">
        <x:v>46301</x:v>
      </x:c>
      <x:c r="I575" s="54" t="str">
        <x:v>SIM-LAB-04</x:v>
      </x:c>
      <x:c r="J575" s="45" t="str">
        <x:v>人工模拟结果，无对应检测报告</x:v>
      </x:c>
    </x:row>
    <x:row r="576">
      <x:c r="A576" s="54" t="str">
        <x:v>SIM-S096</x:v>
      </x:c>
      <x:c r="B576" s="54" t="str">
        <x:v>Au</x:v>
      </x:c>
      <x:c r="C576" s="45" t="str">
        <x:v>0.077</x:v>
      </x:c>
      <x:c r="D576" s="45" t="n">
        <x:v>0.077</x:v>
      </x:c>
      <x:c r="E576" s="54" t="str">
        <x:v>mg/kg</x:v>
      </x:c>
      <x:c r="F576" s="45" t="n">
        <x:v>0.005</x:v>
      </x:c>
      <x:c r="G576" s="45" t="str">
        <x:v>模拟检测法-Au</x:v>
      </x:c>
      <x:c r="H576" s="63" t="n">
        <x:v>46301</x:v>
      </x:c>
      <x:c r="I576" s="54" t="str">
        <x:v>SIM-LAB-04</x:v>
      </x:c>
      <x:c r="J576" s="45" t="str">
        <x:v>人工模拟结果，无对应检测报告</x:v>
      </x:c>
    </x:row>
    <x:row r="577">
      <x:c r="A577" s="54" t="str">
        <x:v>SIM-S096</x:v>
      </x:c>
      <x:c r="B577" s="54" t="str">
        <x:v>Ag</x:v>
      </x:c>
      <x:c r="C577" s="45" t="str">
        <x:v>1.38</x:v>
      </x:c>
      <x:c r="D577" s="45" t="n">
        <x:v>1.38</x:v>
      </x:c>
      <x:c r="E577" s="54" t="str">
        <x:v>mg/kg</x:v>
      </x:c>
      <x:c r="F577" s="45" t="n">
        <x:v>0.1</x:v>
      </x:c>
      <x:c r="G577" s="45" t="str">
        <x:v>模拟检测法-Ag</x:v>
      </x:c>
      <x:c r="H577" s="63" t="n">
        <x:v>46301</x:v>
      </x:c>
      <x:c r="I577" s="54" t="str">
        <x:v>SIM-LAB-04</x:v>
      </x:c>
      <x:c r="J577" s="45" t="str">
        <x:v>人工模拟结果，无对应检测报告</x:v>
      </x:c>
    </x:row>
    <x:row r="578">
      <x:c r="A578" s="54" t="str">
        <x:v>SIM-S096</x:v>
      </x:c>
      <x:c r="B578" s="54" t="str">
        <x:v>Cu</x:v>
      </x:c>
      <x:c r="C578" s="45" t="str">
        <x:v>0.0149</x:v>
      </x:c>
      <x:c r="D578" s="45" t="n">
        <x:v>0.0149</x:v>
      </x:c>
      <x:c r="E578" s="54" t="str">
        <x:v>%</x:v>
      </x:c>
      <x:c r="F578" s="45" t="n">
        <x:v>0.001</x:v>
      </x:c>
      <x:c r="G578" s="45" t="str">
        <x:v>模拟检测法-Cu</x:v>
      </x:c>
      <x:c r="H578" s="63" t="n">
        <x:v>46301</x:v>
      </x:c>
      <x:c r="I578" s="54" t="str">
        <x:v>SIM-LAB-04</x:v>
      </x:c>
      <x:c r="J578" s="45" t="str">
        <x:v>人工模拟结果，无对应检测报告</x:v>
      </x:c>
    </x:row>
    <x:row r="579">
      <x:c r="A579" s="54" t="str">
        <x:v>SIM-S096</x:v>
      </x:c>
      <x:c r="B579" s="54" t="str">
        <x:v>Pb</x:v>
      </x:c>
      <x:c r="C579" s="45" t="str">
        <x:v>0.0505</x:v>
      </x:c>
      <x:c r="D579" s="45" t="n">
        <x:v>0.0505</x:v>
      </x:c>
      <x:c r="E579" s="54" t="str">
        <x:v>%</x:v>
      </x:c>
      <x:c r="F579" s="45" t="n">
        <x:v>0.001</x:v>
      </x:c>
      <x:c r="G579" s="45" t="str">
        <x:v>模拟检测法-Pb</x:v>
      </x:c>
      <x:c r="H579" s="63" t="n">
        <x:v>46301</x:v>
      </x:c>
      <x:c r="I579" s="54" t="str">
        <x:v>SIM-LAB-04</x:v>
      </x:c>
      <x:c r="J579" s="45" t="str">
        <x:v>人工模拟结果，无对应检测报告</x:v>
      </x:c>
    </x:row>
    <x:row r="580">
      <x:c r="A580" s="54" t="str">
        <x:v>SIM-S096</x:v>
      </x:c>
      <x:c r="B580" s="54" t="str">
        <x:v>Zn</x:v>
      </x:c>
      <x:c r="C580" s="45" t="str">
        <x:v>0.096</x:v>
      </x:c>
      <x:c r="D580" s="45" t="n">
        <x:v>0.096</x:v>
      </x:c>
      <x:c r="E580" s="54" t="str">
        <x:v>%</x:v>
      </x:c>
      <x:c r="F580" s="45" t="n">
        <x:v>0.001</x:v>
      </x:c>
      <x:c r="G580" s="45" t="str">
        <x:v>模拟检测法-Zn</x:v>
      </x:c>
      <x:c r="H580" s="63" t="n">
        <x:v>46301</x:v>
      </x:c>
      <x:c r="I580" s="54" t="str">
        <x:v>SIM-LAB-04</x:v>
      </x:c>
      <x:c r="J580" s="45" t="str">
        <x:v>人工模拟结果，无对应检测报告</x:v>
      </x:c>
    </x:row>
    <x:row r="581">
      <x:c r="A581" s="54" t="str">
        <x:v>SIM-S096</x:v>
      </x:c>
      <x:c r="B581" s="54" t="str">
        <x:v>As</x:v>
      </x:c>
      <x:c r="C581" s="45" t="str">
        <x:v>5.1</x:v>
      </x:c>
      <x:c r="D581" s="45" t="n">
        <x:v>5.1</x:v>
      </x:c>
      <x:c r="E581" s="54" t="str">
        <x:v>mg/kg</x:v>
      </x:c>
      <x:c r="F581" s="45" t="n">
        <x:v>1</x:v>
      </x:c>
      <x:c r="G581" s="45" t="str">
        <x:v>模拟检测法-As</x:v>
      </x:c>
      <x:c r="H581" s="63" t="n">
        <x:v>46301</x:v>
      </x:c>
      <x:c r="I581" s="54" t="str">
        <x:v>SIM-LAB-04</x:v>
      </x:c>
      <x:c r="J581" s="45" t="str">
        <x:v>人工模拟结果，无对应检测报告</x:v>
      </x:c>
    </x:row>
    <x:row r="582">
      <x:c r="A582" s="54" t="str">
        <x:v>SIM-S097</x:v>
      </x:c>
      <x:c r="B582" s="54" t="str">
        <x:v>Au</x:v>
      </x:c>
      <x:c r="C582" s="45" t="str">
        <x:v>0.116</x:v>
      </x:c>
      <x:c r="D582" s="45" t="n">
        <x:v>0.116</x:v>
      </x:c>
      <x:c r="E582" s="54" t="str">
        <x:v>mg/kg</x:v>
      </x:c>
      <x:c r="F582" s="45" t="n">
        <x:v>0.005</x:v>
      </x:c>
      <x:c r="G582" s="45" t="str">
        <x:v>模拟检测法-Au</x:v>
      </x:c>
      <x:c r="H582" s="63" t="n">
        <x:v>46301</x:v>
      </x:c>
      <x:c r="I582" s="54" t="str">
        <x:v>SIM-LAB-04</x:v>
      </x:c>
      <x:c r="J582" s="45" t="str">
        <x:v>人工模拟结果，无对应检测报告</x:v>
      </x:c>
    </x:row>
    <x:row r="583">
      <x:c r="A583" s="54" t="str">
        <x:v>SIM-S097</x:v>
      </x:c>
      <x:c r="B583" s="54" t="str">
        <x:v>Ag</x:v>
      </x:c>
      <x:c r="C583" s="45" t="str">
        <x:v>1.3</x:v>
      </x:c>
      <x:c r="D583" s="45" t="n">
        <x:v>1.3</x:v>
      </x:c>
      <x:c r="E583" s="54" t="str">
        <x:v>mg/kg</x:v>
      </x:c>
      <x:c r="F583" s="45" t="n">
        <x:v>0.1</x:v>
      </x:c>
      <x:c r="G583" s="45" t="str">
        <x:v>模拟检测法-Ag</x:v>
      </x:c>
      <x:c r="H583" s="63" t="n">
        <x:v>46301</x:v>
      </x:c>
      <x:c r="I583" s="54" t="str">
        <x:v>SIM-LAB-04</x:v>
      </x:c>
      <x:c r="J583" s="45" t="str">
        <x:v>人工模拟结果，无对应检测报告</x:v>
      </x:c>
    </x:row>
    <x:row r="584">
      <x:c r="A584" s="54" t="str">
        <x:v>SIM-S097</x:v>
      </x:c>
      <x:c r="B584" s="54" t="str">
        <x:v>Cu</x:v>
      </x:c>
      <x:c r="C584" s="45" t="str">
        <x:v>0.0205</x:v>
      </x:c>
      <x:c r="D584" s="45" t="n">
        <x:v>0.0205</x:v>
      </x:c>
      <x:c r="E584" s="54" t="str">
        <x:v>%</x:v>
      </x:c>
      <x:c r="F584" s="45" t="n">
        <x:v>0.001</x:v>
      </x:c>
      <x:c r="G584" s="45" t="str">
        <x:v>模拟检测法-Cu</x:v>
      </x:c>
      <x:c r="H584" s="63" t="n">
        <x:v>46301</x:v>
      </x:c>
      <x:c r="I584" s="54" t="str">
        <x:v>SIM-LAB-04</x:v>
      </x:c>
      <x:c r="J584" s="45" t="str">
        <x:v>人工模拟结果，无对应检测报告</x:v>
      </x:c>
    </x:row>
    <x:row r="585">
      <x:c r="A585" s="54" t="str">
        <x:v>SIM-S097</x:v>
      </x:c>
      <x:c r="B585" s="54" t="str">
        <x:v>Pb</x:v>
      </x:c>
      <x:c r="C585" s="45" t="str">
        <x:v>0.0691</x:v>
      </x:c>
      <x:c r="D585" s="45" t="n">
        <x:v>0.0691</x:v>
      </x:c>
      <x:c r="E585" s="54" t="str">
        <x:v>%</x:v>
      </x:c>
      <x:c r="F585" s="45" t="n">
        <x:v>0.001</x:v>
      </x:c>
      <x:c r="G585" s="45" t="str">
        <x:v>模拟检测法-Pb</x:v>
      </x:c>
      <x:c r="H585" s="63" t="n">
        <x:v>46301</x:v>
      </x:c>
      <x:c r="I585" s="54" t="str">
        <x:v>SIM-LAB-04</x:v>
      </x:c>
      <x:c r="J585" s="45" t="str">
        <x:v>人工模拟结果，无对应检测报告</x:v>
      </x:c>
    </x:row>
    <x:row r="586">
      <x:c r="A586" s="54" t="str">
        <x:v>SIM-S097</x:v>
      </x:c>
      <x:c r="B586" s="54" t="str">
        <x:v>Zn</x:v>
      </x:c>
      <x:c r="C586" s="45" t="str">
        <x:v>0.1428</x:v>
      </x:c>
      <x:c r="D586" s="45" t="n">
        <x:v>0.1428</x:v>
      </x:c>
      <x:c r="E586" s="54" t="str">
        <x:v>%</x:v>
      </x:c>
      <x:c r="F586" s="45" t="n">
        <x:v>0.001</x:v>
      </x:c>
      <x:c r="G586" s="45" t="str">
        <x:v>模拟检测法-Zn</x:v>
      </x:c>
      <x:c r="H586" s="63" t="n">
        <x:v>46301</x:v>
      </x:c>
      <x:c r="I586" s="54" t="str">
        <x:v>SIM-LAB-04</x:v>
      </x:c>
      <x:c r="J586" s="45" t="str">
        <x:v>人工模拟结果，无对应检测报告</x:v>
      </x:c>
    </x:row>
    <x:row r="587">
      <x:c r="A587" s="54" t="str">
        <x:v>SIM-S097</x:v>
      </x:c>
      <x:c r="B587" s="54" t="str">
        <x:v>As</x:v>
      </x:c>
      <x:c r="C587" s="45" t="str">
        <x:v>7.0</x:v>
      </x:c>
      <x:c r="D587" s="45" t="n">
        <x:v>7</x:v>
      </x:c>
      <x:c r="E587" s="54" t="str">
        <x:v>mg/kg</x:v>
      </x:c>
      <x:c r="F587" s="45" t="n">
        <x:v>1</x:v>
      </x:c>
      <x:c r="G587" s="45" t="str">
        <x:v>模拟检测法-As</x:v>
      </x:c>
      <x:c r="H587" s="63" t="n">
        <x:v>46301</x:v>
      </x:c>
      <x:c r="I587" s="54" t="str">
        <x:v>SIM-LAB-04</x:v>
      </x:c>
      <x:c r="J587" s="45" t="str">
        <x:v>人工模拟结果，无对应检测报告</x:v>
      </x:c>
    </x:row>
    <x:row r="588">
      <x:c r="A588" s="54" t="str">
        <x:v>SIM-S098</x:v>
      </x:c>
      <x:c r="B588" s="54" t="str">
        <x:v>Au</x:v>
      </x:c>
      <x:c r="C588" s="45" t="str">
        <x:v>0.176</x:v>
      </x:c>
      <x:c r="D588" s="45" t="n">
        <x:v>0.176</x:v>
      </x:c>
      <x:c r="E588" s="54" t="str">
        <x:v>mg/kg</x:v>
      </x:c>
      <x:c r="F588" s="45" t="n">
        <x:v>0.005</x:v>
      </x:c>
      <x:c r="G588" s="45" t="str">
        <x:v>模拟检测法-Au</x:v>
      </x:c>
      <x:c r="H588" s="63" t="n">
        <x:v>46301</x:v>
      </x:c>
      <x:c r="I588" s="54" t="str">
        <x:v>SIM-LAB-04</x:v>
      </x:c>
      <x:c r="J588" s="45" t="str">
        <x:v>人工模拟结果，无对应检测报告</x:v>
      </x:c>
    </x:row>
    <x:row r="589">
      <x:c r="A589" s="54" t="str">
        <x:v>SIM-S098</x:v>
      </x:c>
      <x:c r="B589" s="54" t="str">
        <x:v>Ag</x:v>
      </x:c>
      <x:c r="C589" s="45" t="str">
        <x:v>1.61</x:v>
      </x:c>
      <x:c r="D589" s="45" t="n">
        <x:v>1.61</x:v>
      </x:c>
      <x:c r="E589" s="54" t="str">
        <x:v>mg/kg</x:v>
      </x:c>
      <x:c r="F589" s="45" t="n">
        <x:v>0.1</x:v>
      </x:c>
      <x:c r="G589" s="45" t="str">
        <x:v>模拟检测法-Ag</x:v>
      </x:c>
      <x:c r="H589" s="63" t="n">
        <x:v>46301</x:v>
      </x:c>
      <x:c r="I589" s="54" t="str">
        <x:v>SIM-LAB-04</x:v>
      </x:c>
      <x:c r="J589" s="45" t="str">
        <x:v>人工模拟结果，无对应检测报告</x:v>
      </x:c>
    </x:row>
    <x:row r="590">
      <x:c r="A590" s="54" t="str">
        <x:v>SIM-S098</x:v>
      </x:c>
      <x:c r="B590" s="54" t="str">
        <x:v>Cu</x:v>
      </x:c>
      <x:c r="C590" s="45" t="str">
        <x:v>0.0308</x:v>
      </x:c>
      <x:c r="D590" s="45" t="n">
        <x:v>0.0308</x:v>
      </x:c>
      <x:c r="E590" s="54" t="str">
        <x:v>%</x:v>
      </x:c>
      <x:c r="F590" s="45" t="n">
        <x:v>0.001</x:v>
      </x:c>
      <x:c r="G590" s="45" t="str">
        <x:v>模拟检测法-Cu</x:v>
      </x:c>
      <x:c r="H590" s="63" t="n">
        <x:v>46301</x:v>
      </x:c>
      <x:c r="I590" s="54" t="str">
        <x:v>SIM-LAB-04</x:v>
      </x:c>
      <x:c r="J590" s="45" t="str">
        <x:v>人工模拟结果，无对应检测报告</x:v>
      </x:c>
    </x:row>
    <x:row r="591">
      <x:c r="A591" s="54" t="str">
        <x:v>SIM-S098</x:v>
      </x:c>
      <x:c r="B591" s="54" t="str">
        <x:v>Pb</x:v>
      </x:c>
      <x:c r="C591" s="45" t="str">
        <x:v>0.1088</x:v>
      </x:c>
      <x:c r="D591" s="45" t="n">
        <x:v>0.1088</x:v>
      </x:c>
      <x:c r="E591" s="54" t="str">
        <x:v>%</x:v>
      </x:c>
      <x:c r="F591" s="45" t="n">
        <x:v>0.001</x:v>
      </x:c>
      <x:c r="G591" s="45" t="str">
        <x:v>模拟检测法-Pb</x:v>
      </x:c>
      <x:c r="H591" s="63" t="n">
        <x:v>46301</x:v>
      </x:c>
      <x:c r="I591" s="54" t="str">
        <x:v>SIM-LAB-04</x:v>
      </x:c>
      <x:c r="J591" s="45" t="str">
        <x:v>人工模拟结果，无对应检测报告</x:v>
      </x:c>
    </x:row>
    <x:row r="592">
      <x:c r="A592" s="54" t="str">
        <x:v>SIM-S098</x:v>
      </x:c>
      <x:c r="B592" s="54" t="str">
        <x:v>Zn</x:v>
      </x:c>
      <x:c r="C592" s="45" t="str">
        <x:v>0.2264</x:v>
      </x:c>
      <x:c r="D592" s="45" t="n">
        <x:v>0.2264</x:v>
      </x:c>
      <x:c r="E592" s="54" t="str">
        <x:v>%</x:v>
      </x:c>
      <x:c r="F592" s="45" t="n">
        <x:v>0.001</x:v>
      </x:c>
      <x:c r="G592" s="45" t="str">
        <x:v>模拟检测法-Zn</x:v>
      </x:c>
      <x:c r="H592" s="63" t="n">
        <x:v>46301</x:v>
      </x:c>
      <x:c r="I592" s="54" t="str">
        <x:v>SIM-LAB-04</x:v>
      </x:c>
      <x:c r="J592" s="45" t="str">
        <x:v>人工模拟结果，无对应检测报告</x:v>
      </x:c>
    </x:row>
    <x:row r="593">
      <x:c r="A593" s="54" t="str">
        <x:v>SIM-S098</x:v>
      </x:c>
      <x:c r="B593" s="54" t="str">
        <x:v>As</x:v>
      </x:c>
      <x:c r="C593" s="45" t="str">
        <x:v>10.8</x:v>
      </x:c>
      <x:c r="D593" s="45" t="n">
        <x:v>10.8</x:v>
      </x:c>
      <x:c r="E593" s="54" t="str">
        <x:v>mg/kg</x:v>
      </x:c>
      <x:c r="F593" s="45" t="n">
        <x:v>1</x:v>
      </x:c>
      <x:c r="G593" s="45" t="str">
        <x:v>模拟检测法-As</x:v>
      </x:c>
      <x:c r="H593" s="63" t="n">
        <x:v>46301</x:v>
      </x:c>
      <x:c r="I593" s="54" t="str">
        <x:v>SIM-LAB-04</x:v>
      </x:c>
      <x:c r="J593" s="45" t="str">
        <x:v>人工模拟结果，无对应检测报告</x:v>
      </x:c>
    </x:row>
    <x:row r="594">
      <x:c r="A594" s="54" t="str">
        <x:v>SIM-S099</x:v>
      </x:c>
      <x:c r="B594" s="54" t="str">
        <x:v>Au</x:v>
      </x:c>
      <x:c r="C594" s="45" t="str">
        <x:v>0.294</x:v>
      </x:c>
      <x:c r="D594" s="45" t="n">
        <x:v>0.294</x:v>
      </x:c>
      <x:c r="E594" s="54" t="str">
        <x:v>mg/kg</x:v>
      </x:c>
      <x:c r="F594" s="45" t="n">
        <x:v>0.005</x:v>
      </x:c>
      <x:c r="G594" s="45" t="str">
        <x:v>模拟检测法-Au</x:v>
      </x:c>
      <x:c r="H594" s="63" t="n">
        <x:v>46301</x:v>
      </x:c>
      <x:c r="I594" s="54" t="str">
        <x:v>SIM-LAB-04</x:v>
      </x:c>
      <x:c r="J594" s="45" t="str">
        <x:v>人工模拟结果，无对应检测报告</x:v>
      </x:c>
    </x:row>
    <x:row r="595">
      <x:c r="A595" s="54" t="str">
        <x:v>SIM-S099</x:v>
      </x:c>
      <x:c r="B595" s="54" t="str">
        <x:v>Ag</x:v>
      </x:c>
      <x:c r="C595" s="45" t="str">
        <x:v>2.81</x:v>
      </x:c>
      <x:c r="D595" s="45" t="n">
        <x:v>2.81</x:v>
      </x:c>
      <x:c r="E595" s="54" t="str">
        <x:v>mg/kg</x:v>
      </x:c>
      <x:c r="F595" s="45" t="n">
        <x:v>0.1</x:v>
      </x:c>
      <x:c r="G595" s="45" t="str">
        <x:v>模拟检测法-Ag</x:v>
      </x:c>
      <x:c r="H595" s="63" t="n">
        <x:v>46301</x:v>
      </x:c>
      <x:c r="I595" s="54" t="str">
        <x:v>SIM-LAB-04</x:v>
      </x:c>
      <x:c r="J595" s="45" t="str">
        <x:v>人工模拟结果，无对应检测报告</x:v>
      </x:c>
    </x:row>
    <x:row r="596">
      <x:c r="A596" s="54" t="str">
        <x:v>SIM-S099</x:v>
      </x:c>
      <x:c r="B596" s="54" t="str">
        <x:v>Cu</x:v>
      </x:c>
      <x:c r="C596" s="45" t="str">
        <x:v>0.0495</x:v>
      </x:c>
      <x:c r="D596" s="45" t="n">
        <x:v>0.0495</x:v>
      </x:c>
      <x:c r="E596" s="54" t="str">
        <x:v>%</x:v>
      </x:c>
      <x:c r="F596" s="45" t="n">
        <x:v>0.001</x:v>
      </x:c>
      <x:c r="G596" s="45" t="str">
        <x:v>模拟检测法-Cu</x:v>
      </x:c>
      <x:c r="H596" s="63" t="n">
        <x:v>46301</x:v>
      </x:c>
      <x:c r="I596" s="54" t="str">
        <x:v>SIM-LAB-04</x:v>
      </x:c>
      <x:c r="J596" s="45" t="str">
        <x:v>人工模拟结果，无对应检测报告</x:v>
      </x:c>
    </x:row>
    <x:row r="597">
      <x:c r="A597" s="54" t="str">
        <x:v>SIM-S099</x:v>
      </x:c>
      <x:c r="B597" s="54" t="str">
        <x:v>Pb</x:v>
      </x:c>
      <x:c r="C597" s="45" t="str">
        <x:v>0.1846</x:v>
      </x:c>
      <x:c r="D597" s="45" t="n">
        <x:v>0.1846</x:v>
      </x:c>
      <x:c r="E597" s="54" t="str">
        <x:v>%</x:v>
      </x:c>
      <x:c r="F597" s="45" t="n">
        <x:v>0.001</x:v>
      </x:c>
      <x:c r="G597" s="45" t="str">
        <x:v>模拟检测法-Pb</x:v>
      </x:c>
      <x:c r="H597" s="63" t="n">
        <x:v>46301</x:v>
      </x:c>
      <x:c r="I597" s="54" t="str">
        <x:v>SIM-LAB-04</x:v>
      </x:c>
      <x:c r="J597" s="45" t="str">
        <x:v>人工模拟结果，无对应检测报告</x:v>
      </x:c>
    </x:row>
    <x:row r="598">
      <x:c r="A598" s="54" t="str">
        <x:v>SIM-S099</x:v>
      </x:c>
      <x:c r="B598" s="54" t="str">
        <x:v>Zn</x:v>
      </x:c>
      <x:c r="C598" s="45" t="str">
        <x:v>0.3762</x:v>
      </x:c>
      <x:c r="D598" s="45" t="n">
        <x:v>0.3762</x:v>
      </x:c>
      <x:c r="E598" s="54" t="str">
        <x:v>%</x:v>
      </x:c>
      <x:c r="F598" s="45" t="n">
        <x:v>0.001</x:v>
      </x:c>
      <x:c r="G598" s="45" t="str">
        <x:v>模拟检测法-Zn</x:v>
      </x:c>
      <x:c r="H598" s="63" t="n">
        <x:v>46301</x:v>
      </x:c>
      <x:c r="I598" s="54" t="str">
        <x:v>SIM-LAB-04</x:v>
      </x:c>
      <x:c r="J598" s="45" t="str">
        <x:v>人工模拟结果，无对应检测报告</x:v>
      </x:c>
    </x:row>
    <x:row r="599">
      <x:c r="A599" s="54" t="str">
        <x:v>SIM-S099</x:v>
      </x:c>
      <x:c r="B599" s="54" t="str">
        <x:v>As</x:v>
      </x:c>
      <x:c r="C599" s="45" t="str">
        <x:v>17.8</x:v>
      </x:c>
      <x:c r="D599" s="45" t="n">
        <x:v>17.8</x:v>
      </x:c>
      <x:c r="E599" s="54" t="str">
        <x:v>mg/kg</x:v>
      </x:c>
      <x:c r="F599" s="45" t="n">
        <x:v>1</x:v>
      </x:c>
      <x:c r="G599" s="45" t="str">
        <x:v>模拟检测法-As</x:v>
      </x:c>
      <x:c r="H599" s="63" t="n">
        <x:v>46301</x:v>
      </x:c>
      <x:c r="I599" s="54" t="str">
        <x:v>SIM-LAB-04</x:v>
      </x:c>
      <x:c r="J599" s="45" t="str">
        <x:v>人工模拟结果，无对应检测报告</x:v>
      </x:c>
    </x:row>
    <x:row r="600">
      <x:c r="A600" s="54" t="str">
        <x:v>SIM-S100</x:v>
      </x:c>
      <x:c r="B600" s="54" t="str">
        <x:v>Au</x:v>
      </x:c>
      <x:c r="C600" s="45" t="str">
        <x:v>0.515</x:v>
      </x:c>
      <x:c r="D600" s="45" t="n">
        <x:v>0.515</x:v>
      </x:c>
      <x:c r="E600" s="54" t="str">
        <x:v>mg/kg</x:v>
      </x:c>
      <x:c r="F600" s="45" t="n">
        <x:v>0.005</x:v>
      </x:c>
      <x:c r="G600" s="45" t="str">
        <x:v>模拟检测法-Au</x:v>
      </x:c>
      <x:c r="H600" s="63" t="n">
        <x:v>46301</x:v>
      </x:c>
      <x:c r="I600" s="54" t="str">
        <x:v>SIM-LAB-04</x:v>
      </x:c>
      <x:c r="J600" s="45" t="str">
        <x:v>人工模拟结果，无对应检测报告</x:v>
      </x:c>
    </x:row>
    <x:row r="601">
      <x:c r="A601" s="54" t="str">
        <x:v>SIM-S100</x:v>
      </x:c>
      <x:c r="B601" s="54" t="str">
        <x:v>Ag</x:v>
      </x:c>
      <x:c r="C601" s="45" t="str">
        <x:v>5.12</x:v>
      </x:c>
      <x:c r="D601" s="45" t="n">
        <x:v>5.12</x:v>
      </x:c>
      <x:c r="E601" s="54" t="str">
        <x:v>mg/kg</x:v>
      </x:c>
      <x:c r="F601" s="45" t="n">
        <x:v>0.1</x:v>
      </x:c>
      <x:c r="G601" s="45" t="str">
        <x:v>模拟检测法-Ag</x:v>
      </x:c>
      <x:c r="H601" s="63" t="n">
        <x:v>46301</x:v>
      </x:c>
      <x:c r="I601" s="54" t="str">
        <x:v>SIM-LAB-04</x:v>
      </x:c>
      <x:c r="J601" s="45" t="str">
        <x:v>人工模拟结果，无对应检测报告</x:v>
      </x:c>
    </x:row>
    <x:row r="602">
      <x:c r="A602" s="54" t="str">
        <x:v>SIM-S100</x:v>
      </x:c>
      <x:c r="B602" s="54" t="str">
        <x:v>Cu</x:v>
      </x:c>
      <x:c r="C602" s="45" t="str">
        <x:v>0.0804</x:v>
      </x:c>
      <x:c r="D602" s="45" t="n">
        <x:v>0.0804</x:v>
      </x:c>
      <x:c r="E602" s="54" t="str">
        <x:v>%</x:v>
      </x:c>
      <x:c r="F602" s="45" t="n">
        <x:v>0.001</x:v>
      </x:c>
      <x:c r="G602" s="45" t="str">
        <x:v>模拟检测法-Cu</x:v>
      </x:c>
      <x:c r="H602" s="63" t="n">
        <x:v>46301</x:v>
      </x:c>
      <x:c r="I602" s="54" t="str">
        <x:v>SIM-LAB-04</x:v>
      </x:c>
      <x:c r="J602" s="45" t="str">
        <x:v>人工模拟结果，无对应检测报告</x:v>
      </x:c>
    </x:row>
    <x:row r="603">
      <x:c r="A603" s="54" t="str">
        <x:v>SIM-S100</x:v>
      </x:c>
      <x:c r="B603" s="54" t="str">
        <x:v>Pb</x:v>
      </x:c>
      <x:c r="C603" s="45" t="str">
        <x:v>0.314</x:v>
      </x:c>
      <x:c r="D603" s="45" t="n">
        <x:v>0.314</x:v>
      </x:c>
      <x:c r="E603" s="54" t="str">
        <x:v>%</x:v>
      </x:c>
      <x:c r="F603" s="45" t="n">
        <x:v>0.001</x:v>
      </x:c>
      <x:c r="G603" s="45" t="str">
        <x:v>模拟检测法-Pb</x:v>
      </x:c>
      <x:c r="H603" s="63" t="n">
        <x:v>46301</x:v>
      </x:c>
      <x:c r="I603" s="54" t="str">
        <x:v>SIM-LAB-04</x:v>
      </x:c>
      <x:c r="J603" s="45" t="str">
        <x:v>人工模拟结果，无对应检测报告</x:v>
      </x:c>
    </x:row>
    <x:row r="604">
      <x:c r="A604" s="54" t="str">
        <x:v>SIM-S100</x:v>
      </x:c>
      <x:c r="B604" s="54" t="str">
        <x:v>Zn</x:v>
      </x:c>
      <x:c r="C604" s="45" t="str">
        <x:v>0.628</x:v>
      </x:c>
      <x:c r="D604" s="45" t="n">
        <x:v>0.628</x:v>
      </x:c>
      <x:c r="E604" s="54" t="str">
        <x:v>%</x:v>
      </x:c>
      <x:c r="F604" s="45" t="n">
        <x:v>0.001</x:v>
      </x:c>
      <x:c r="G604" s="45" t="str">
        <x:v>模拟检测法-Zn</x:v>
      </x:c>
      <x:c r="H604" s="63" t="n">
        <x:v>46301</x:v>
      </x:c>
      <x:c r="I604" s="54" t="str">
        <x:v>SIM-LAB-04</x:v>
      </x:c>
      <x:c r="J604" s="45" t="str">
        <x:v>人工模拟结果，无对应检测报告</x:v>
      </x:c>
    </x:row>
    <x:row r="605">
      <x:c r="A605" s="54" t="str">
        <x:v>SIM-S100</x:v>
      </x:c>
      <x:c r="B605" s="54" t="str">
        <x:v>As</x:v>
      </x:c>
      <x:c r="C605" s="45" t="str">
        <x:v>29.3</x:v>
      </x:c>
      <x:c r="D605" s="45" t="n">
        <x:v>29.3</x:v>
      </x:c>
      <x:c r="E605" s="54" t="str">
        <x:v>mg/kg</x:v>
      </x:c>
      <x:c r="F605" s="45" t="n">
        <x:v>1</x:v>
      </x:c>
      <x:c r="G605" s="45" t="str">
        <x:v>模拟检测法-As</x:v>
      </x:c>
      <x:c r="H605" s="63" t="n">
        <x:v>46301</x:v>
      </x:c>
      <x:c r="I605" s="54" t="str">
        <x:v>SIM-LAB-04</x:v>
      </x:c>
      <x:c r="J605" s="45" t="str">
        <x:v>人工模拟结果，无对应检测报告</x:v>
      </x:c>
    </x:row>
    <x:row r="606">
      <x:c r="A606" s="54" t="str">
        <x:v>SIM-S101</x:v>
      </x:c>
      <x:c r="B606" s="54" t="str">
        <x:v>Au</x:v>
      </x:c>
      <x:c r="C606" s="45" t="str">
        <x:v>0.869</x:v>
      </x:c>
      <x:c r="D606" s="45" t="n">
        <x:v>0.869</x:v>
      </x:c>
      <x:c r="E606" s="54" t="str">
        <x:v>mg/kg</x:v>
      </x:c>
      <x:c r="F606" s="45" t="n">
        <x:v>0.005</x:v>
      </x:c>
      <x:c r="G606" s="45" t="str">
        <x:v>模拟检测法-Au</x:v>
      </x:c>
      <x:c r="H606" s="63" t="n">
        <x:v>46301</x:v>
      </x:c>
      <x:c r="I606" s="54" t="str">
        <x:v>SIM-LAB-04</x:v>
      </x:c>
      <x:c r="J606" s="45" t="str">
        <x:v>人工模拟结果，无对应检测报告</x:v>
      </x:c>
    </x:row>
    <x:row r="607">
      <x:c r="A607" s="54" t="str">
        <x:v>SIM-S101</x:v>
      </x:c>
      <x:c r="B607" s="54" t="str">
        <x:v>Ag</x:v>
      </x:c>
      <x:c r="C607" s="45" t="str">
        <x:v>8.4</x:v>
      </x:c>
      <x:c r="D607" s="45" t="n">
        <x:v>8.4</x:v>
      </x:c>
      <x:c r="E607" s="54" t="str">
        <x:v>mg/kg</x:v>
      </x:c>
      <x:c r="F607" s="45" t="n">
        <x:v>0.1</x:v>
      </x:c>
      <x:c r="G607" s="45" t="str">
        <x:v>模拟检测法-Ag</x:v>
      </x:c>
      <x:c r="H607" s="63" t="n">
        <x:v>46301</x:v>
      </x:c>
      <x:c r="I607" s="54" t="str">
        <x:v>SIM-LAB-04</x:v>
      </x:c>
      <x:c r="J607" s="45" t="str">
        <x:v>人工模拟结果，无对应检测报告</x:v>
      </x:c>
    </x:row>
    <x:row r="608">
      <x:c r="A608" s="54" t="str">
        <x:v>SIM-S101</x:v>
      </x:c>
      <x:c r="B608" s="54" t="str">
        <x:v>Cu</x:v>
      </x:c>
      <x:c r="C608" s="45" t="str">
        <x:v>0.1266</x:v>
      </x:c>
      <x:c r="D608" s="45" t="n">
        <x:v>0.1266</x:v>
      </x:c>
      <x:c r="E608" s="54" t="str">
        <x:v>%</x:v>
      </x:c>
      <x:c r="F608" s="45" t="n">
        <x:v>0.001</x:v>
      </x:c>
      <x:c r="G608" s="45" t="str">
        <x:v>模拟检测法-Cu</x:v>
      </x:c>
      <x:c r="H608" s="63" t="n">
        <x:v>46301</x:v>
      </x:c>
      <x:c r="I608" s="54" t="str">
        <x:v>SIM-LAB-04</x:v>
      </x:c>
      <x:c r="J608" s="45" t="str">
        <x:v>人工模拟结果，无对应检测报告</x:v>
      </x:c>
    </x:row>
    <x:row r="609">
      <x:c r="A609" s="54" t="str">
        <x:v>SIM-S101</x:v>
      </x:c>
      <x:c r="B609" s="54" t="str">
        <x:v>Pb</x:v>
      </x:c>
      <x:c r="C609" s="45" t="str">
        <x:v>0.5092</x:v>
      </x:c>
      <x:c r="D609" s="45" t="n">
        <x:v>0.5092</x:v>
      </x:c>
      <x:c r="E609" s="54" t="str">
        <x:v>%</x:v>
      </x:c>
      <x:c r="F609" s="45" t="n">
        <x:v>0.001</x:v>
      </x:c>
      <x:c r="G609" s="45" t="str">
        <x:v>模拟检测法-Pb</x:v>
      </x:c>
      <x:c r="H609" s="63" t="n">
        <x:v>46301</x:v>
      </x:c>
      <x:c r="I609" s="54" t="str">
        <x:v>SIM-LAB-04</x:v>
      </x:c>
      <x:c r="J609" s="45" t="str">
        <x:v>人工模拟结果，无对应检测报告</x:v>
      </x:c>
    </x:row>
    <x:row r="610">
      <x:c r="A610" s="54" t="str">
        <x:v>SIM-S101</x:v>
      </x:c>
      <x:c r="B610" s="54" t="str">
        <x:v>Zn</x:v>
      </x:c>
      <x:c r="C610" s="45" t="str">
        <x:v>1.0101</x:v>
      </x:c>
      <x:c r="D610" s="45" t="n">
        <x:v>1.0101</x:v>
      </x:c>
      <x:c r="E610" s="54" t="str">
        <x:v>%</x:v>
      </x:c>
      <x:c r="F610" s="45" t="n">
        <x:v>0.001</x:v>
      </x:c>
      <x:c r="G610" s="45" t="str">
        <x:v>模拟检测法-Zn</x:v>
      </x:c>
      <x:c r="H610" s="63" t="n">
        <x:v>46301</x:v>
      </x:c>
      <x:c r="I610" s="54" t="str">
        <x:v>SIM-LAB-04</x:v>
      </x:c>
      <x:c r="J610" s="45" t="str">
        <x:v>人工模拟结果，无对应检测报告</x:v>
      </x:c>
    </x:row>
    <x:row r="611">
      <x:c r="A611" s="54" t="str">
        <x:v>SIM-S101</x:v>
      </x:c>
      <x:c r="B611" s="54" t="str">
        <x:v>As</x:v>
      </x:c>
      <x:c r="C611" s="45" t="str">
        <x:v>46.2</x:v>
      </x:c>
      <x:c r="D611" s="45" t="n">
        <x:v>46.2</x:v>
      </x:c>
      <x:c r="E611" s="54" t="str">
        <x:v>mg/kg</x:v>
      </x:c>
      <x:c r="F611" s="45" t="n">
        <x:v>1</x:v>
      </x:c>
      <x:c r="G611" s="45" t="str">
        <x:v>模拟检测法-As</x:v>
      </x:c>
      <x:c r="H611" s="63" t="n">
        <x:v>46301</x:v>
      </x:c>
      <x:c r="I611" s="54" t="str">
        <x:v>SIM-LAB-04</x:v>
      </x:c>
      <x:c r="J611" s="45" t="str">
        <x:v>人工模拟结果，无对应检测报告</x:v>
      </x:c>
    </x:row>
    <x:row r="612">
      <x:c r="A612" s="54" t="str">
        <x:v>SIM-S102</x:v>
      </x:c>
      <x:c r="B612" s="54" t="str">
        <x:v>Au</x:v>
      </x:c>
      <x:c r="C612" s="45" t="str">
        <x:v>1.342</x:v>
      </x:c>
      <x:c r="D612" s="45" t="n">
        <x:v>1.342</x:v>
      </x:c>
      <x:c r="E612" s="54" t="str">
        <x:v>mg/kg</x:v>
      </x:c>
      <x:c r="F612" s="45" t="n">
        <x:v>0.005</x:v>
      </x:c>
      <x:c r="G612" s="45" t="str">
        <x:v>模拟检测法-Au</x:v>
      </x:c>
      <x:c r="H612" s="63" t="n">
        <x:v>46301</x:v>
      </x:c>
      <x:c r="I612" s="54" t="str">
        <x:v>SIM-LAB-04</x:v>
      </x:c>
      <x:c r="J612" s="45" t="str">
        <x:v>人工模拟结果，无对应检测报告</x:v>
      </x:c>
    </x:row>
    <x:row r="613">
      <x:c r="A613" s="54" t="str">
        <x:v>SIM-S102</x:v>
      </x:c>
      <x:c r="B613" s="54" t="str">
        <x:v>Ag</x:v>
      </x:c>
      <x:c r="C613" s="45" t="str">
        <x:v>12.32</x:v>
      </x:c>
      <x:c r="D613" s="45" t="n">
        <x:v>12.32</x:v>
      </x:c>
      <x:c r="E613" s="54" t="str">
        <x:v>mg/kg</x:v>
      </x:c>
      <x:c r="F613" s="45" t="n">
        <x:v>0.1</x:v>
      </x:c>
      <x:c r="G613" s="45" t="str">
        <x:v>模拟检测法-Ag</x:v>
      </x:c>
      <x:c r="H613" s="63" t="n">
        <x:v>46301</x:v>
      </x:c>
      <x:c r="I613" s="54" t="str">
        <x:v>SIM-LAB-04</x:v>
      </x:c>
      <x:c r="J613" s="45" t="str">
        <x:v>人工模拟结果，无对应检测报告</x:v>
      </x:c>
    </x:row>
    <x:row r="614">
      <x:c r="A614" s="54" t="str">
        <x:v>SIM-S102</x:v>
      </x:c>
      <x:c r="B614" s="54" t="str">
        <x:v>Cu</x:v>
      </x:c>
      <x:c r="C614" s="45" t="str">
        <x:v>0.1875</x:v>
      </x:c>
      <x:c r="D614" s="45" t="n">
        <x:v>0.1875</x:v>
      </x:c>
      <x:c r="E614" s="54" t="str">
        <x:v>%</x:v>
      </x:c>
      <x:c r="F614" s="45" t="n">
        <x:v>0.001</x:v>
      </x:c>
      <x:c r="G614" s="45" t="str">
        <x:v>模拟检测法-Cu</x:v>
      </x:c>
      <x:c r="H614" s="63" t="n">
        <x:v>46301</x:v>
      </x:c>
      <x:c r="I614" s="54" t="str">
        <x:v>SIM-LAB-04</x:v>
      </x:c>
      <x:c r="J614" s="45" t="str">
        <x:v>人工模拟结果，无对应检测报告</x:v>
      </x:c>
    </x:row>
    <x:row r="615">
      <x:c r="A615" s="54" t="str">
        <x:v>SIM-S102</x:v>
      </x:c>
      <x:c r="B615" s="54" t="str">
        <x:v>Pb</x:v>
      </x:c>
      <x:c r="C615" s="45" t="str">
        <x:v>0.7678</x:v>
      </x:c>
      <x:c r="D615" s="45" t="n">
        <x:v>0.7678</x:v>
      </x:c>
      <x:c r="E615" s="54" t="str">
        <x:v>%</x:v>
      </x:c>
      <x:c r="F615" s="45" t="n">
        <x:v>0.001</x:v>
      </x:c>
      <x:c r="G615" s="45" t="str">
        <x:v>模拟检测法-Pb</x:v>
      </x:c>
      <x:c r="H615" s="63" t="n">
        <x:v>46301</x:v>
      </x:c>
      <x:c r="I615" s="54" t="str">
        <x:v>SIM-LAB-04</x:v>
      </x:c>
      <x:c r="J615" s="45" t="str">
        <x:v>人工模拟结果，无对应检测报告</x:v>
      </x:c>
    </x:row>
    <x:row r="616">
      <x:c r="A616" s="54" t="str">
        <x:v>SIM-S102</x:v>
      </x:c>
      <x:c r="B616" s="54" t="str">
        <x:v>Zn</x:v>
      </x:c>
      <x:c r="C616" s="45" t="str">
        <x:v>1.5214</x:v>
      </x:c>
      <x:c r="D616" s="45" t="n">
        <x:v>1.5214</x:v>
      </x:c>
      <x:c r="E616" s="54" t="str">
        <x:v>%</x:v>
      </x:c>
      <x:c r="F616" s="45" t="n">
        <x:v>0.001</x:v>
      </x:c>
      <x:c r="G616" s="45" t="str">
        <x:v>模拟检测法-Zn</x:v>
      </x:c>
      <x:c r="H616" s="63" t="n">
        <x:v>46301</x:v>
      </x:c>
      <x:c r="I616" s="54" t="str">
        <x:v>SIM-LAB-04</x:v>
      </x:c>
      <x:c r="J616" s="45" t="str">
        <x:v>人工模拟结果，无对应检测报告</x:v>
      </x:c>
    </x:row>
    <x:row r="617">
      <x:c r="A617" s="54" t="str">
        <x:v>SIM-S102</x:v>
      </x:c>
      <x:c r="B617" s="54" t="str">
        <x:v>As</x:v>
      </x:c>
      <x:c r="C617" s="45" t="str">
        <x:v>68.2</x:v>
      </x:c>
      <x:c r="D617" s="45" t="n">
        <x:v>68.2</x:v>
      </x:c>
      <x:c r="E617" s="54" t="str">
        <x:v>mg/kg</x:v>
      </x:c>
      <x:c r="F617" s="45" t="n">
        <x:v>1</x:v>
      </x:c>
      <x:c r="G617" s="45" t="str">
        <x:v>模拟检测法-As</x:v>
      </x:c>
      <x:c r="H617" s="63" t="n">
        <x:v>46301</x:v>
      </x:c>
      <x:c r="I617" s="54" t="str">
        <x:v>SIM-LAB-04</x:v>
      </x:c>
      <x:c r="J617" s="45" t="str">
        <x:v>人工模拟结果，无对应检测报告</x:v>
      </x:c>
    </x:row>
    <x:row r="618">
      <x:c r="A618" s="54" t="str">
        <x:v>SIM-S103</x:v>
      </x:c>
      <x:c r="B618" s="54" t="str">
        <x:v>Au</x:v>
      </x:c>
      <x:c r="C618" s="45" t="str">
        <x:v>1.872</x:v>
      </x:c>
      <x:c r="D618" s="45" t="n">
        <x:v>1.872</x:v>
      </x:c>
      <x:c r="E618" s="54" t="str">
        <x:v>mg/kg</x:v>
      </x:c>
      <x:c r="F618" s="45" t="n">
        <x:v>0.005</x:v>
      </x:c>
      <x:c r="G618" s="45" t="str">
        <x:v>模拟检测法-Au</x:v>
      </x:c>
      <x:c r="H618" s="63" t="n">
        <x:v>46301</x:v>
      </x:c>
      <x:c r="I618" s="54" t="str">
        <x:v>SIM-LAB-04</x:v>
      </x:c>
      <x:c r="J618" s="45" t="str">
        <x:v>人工模拟结果，无对应检测报告</x:v>
      </x:c>
    </x:row>
    <x:row r="619">
      <x:c r="A619" s="54" t="str">
        <x:v>SIM-S103</x:v>
      </x:c>
      <x:c r="B619" s="54" t="str">
        <x:v>Ag</x:v>
      </x:c>
      <x:c r="C619" s="45" t="str">
        <x:v>16.47</x:v>
      </x:c>
      <x:c r="D619" s="45" t="n">
        <x:v>16.47</x:v>
      </x:c>
      <x:c r="E619" s="54" t="str">
        <x:v>mg/kg</x:v>
      </x:c>
      <x:c r="F619" s="45" t="n">
        <x:v>0.1</x:v>
      </x:c>
      <x:c r="G619" s="45" t="str">
        <x:v>模拟检测法-Ag</x:v>
      </x:c>
      <x:c r="H619" s="63" t="n">
        <x:v>46301</x:v>
      </x:c>
      <x:c r="I619" s="54" t="str">
        <x:v>SIM-LAB-04</x:v>
      </x:c>
      <x:c r="J619" s="45" t="str">
        <x:v>人工模拟结果，无对应检测报告</x:v>
      </x:c>
    </x:row>
    <x:row r="620">
      <x:c r="A620" s="54" t="str">
        <x:v>SIM-S103</x:v>
      </x:c>
      <x:c r="B620" s="54" t="str">
        <x:v>Cu</x:v>
      </x:c>
      <x:c r="C620" s="45" t="str">
        <x:v>0.2569</x:v>
      </x:c>
      <x:c r="D620" s="45" t="n">
        <x:v>0.2569</x:v>
      </x:c>
      <x:c r="E620" s="54" t="str">
        <x:v>%</x:v>
      </x:c>
      <x:c r="F620" s="45" t="n">
        <x:v>0.001</x:v>
      </x:c>
      <x:c r="G620" s="45" t="str">
        <x:v>模拟检测法-Cu</x:v>
      </x:c>
      <x:c r="H620" s="63" t="n">
        <x:v>46301</x:v>
      </x:c>
      <x:c r="I620" s="54" t="str">
        <x:v>SIM-LAB-04</x:v>
      </x:c>
      <x:c r="J620" s="45" t="str">
        <x:v>人工模拟结果，无对应检测报告</x:v>
      </x:c>
    </x:row>
    <x:row r="621">
      <x:c r="A621" s="54" t="str">
        <x:v>SIM-S103</x:v>
      </x:c>
      <x:c r="B621" s="54" t="str">
        <x:v>Pb</x:v>
      </x:c>
      <x:c r="C621" s="45" t="str">
        <x:v>1.0632</x:v>
      </x:c>
      <x:c r="D621" s="45" t="n">
        <x:v>1.0632</x:v>
      </x:c>
      <x:c r="E621" s="54" t="str">
        <x:v>%</x:v>
      </x:c>
      <x:c r="F621" s="45" t="n">
        <x:v>0.001</x:v>
      </x:c>
      <x:c r="G621" s="45" t="str">
        <x:v>模拟检测法-Pb</x:v>
      </x:c>
      <x:c r="H621" s="63" t="n">
        <x:v>46301</x:v>
      </x:c>
      <x:c r="I621" s="54" t="str">
        <x:v>SIM-LAB-04</x:v>
      </x:c>
      <x:c r="J621" s="45" t="str">
        <x:v>人工模拟结果，无对应检测报告</x:v>
      </x:c>
    </x:row>
    <x:row r="622">
      <x:c r="A622" s="54" t="str">
        <x:v>SIM-S103</x:v>
      </x:c>
      <x:c r="B622" s="54" t="str">
        <x:v>Zn</x:v>
      </x:c>
      <x:c r="C622" s="45" t="str">
        <x:v>2.112</x:v>
      </x:c>
      <x:c r="D622" s="45" t="n">
        <x:v>2.112</x:v>
      </x:c>
      <x:c r="E622" s="54" t="str">
        <x:v>%</x:v>
      </x:c>
      <x:c r="F622" s="45" t="n">
        <x:v>0.001</x:v>
      </x:c>
      <x:c r="G622" s="45" t="str">
        <x:v>模拟检测法-Zn</x:v>
      </x:c>
      <x:c r="H622" s="63" t="n">
        <x:v>46301</x:v>
      </x:c>
      <x:c r="I622" s="54" t="str">
        <x:v>SIM-LAB-04</x:v>
      </x:c>
      <x:c r="J622" s="45" t="str">
        <x:v>人工模拟结果，无对应检测报告</x:v>
      </x:c>
    </x:row>
    <x:row r="623">
      <x:c r="A623" s="54" t="str">
        <x:v>SIM-S103</x:v>
      </x:c>
      <x:c r="B623" s="54" t="str">
        <x:v>As</x:v>
      </x:c>
      <x:c r="C623" s="45" t="str">
        <x:v>93.1</x:v>
      </x:c>
      <x:c r="D623" s="45" t="n">
        <x:v>93.1</x:v>
      </x:c>
      <x:c r="E623" s="54" t="str">
        <x:v>mg/kg</x:v>
      </x:c>
      <x:c r="F623" s="45" t="n">
        <x:v>1</x:v>
      </x:c>
      <x:c r="G623" s="45" t="str">
        <x:v>模拟检测法-As</x:v>
      </x:c>
      <x:c r="H623" s="63" t="n">
        <x:v>46301</x:v>
      </x:c>
      <x:c r="I623" s="54" t="str">
        <x:v>SIM-LAB-04</x:v>
      </x:c>
      <x:c r="J623" s="45" t="str">
        <x:v>人工模拟结果，无对应检测报告</x:v>
      </x:c>
    </x:row>
    <x:row r="624">
      <x:c r="A624" s="54" t="str">
        <x:v>SIM-S104</x:v>
      </x:c>
      <x:c r="B624" s="54" t="str">
        <x:v>Au</x:v>
      </x:c>
      <x:c r="C624" s="45" t="str">
        <x:v>2.361</x:v>
      </x:c>
      <x:c r="D624" s="45" t="n">
        <x:v>2.361</x:v>
      </x:c>
      <x:c r="E624" s="54" t="str">
        <x:v>mg/kg</x:v>
      </x:c>
      <x:c r="F624" s="45" t="n">
        <x:v>0.005</x:v>
      </x:c>
      <x:c r="G624" s="45" t="str">
        <x:v>模拟检测法-Au</x:v>
      </x:c>
      <x:c r="H624" s="63" t="n">
        <x:v>46301</x:v>
      </x:c>
      <x:c r="I624" s="54" t="str">
        <x:v>SIM-LAB-04</x:v>
      </x:c>
      <x:c r="J624" s="45" t="str">
        <x:v>人工模拟结果，无对应检测报告</x:v>
      </x:c>
    </x:row>
    <x:row r="625">
      <x:c r="A625" s="54" t="str">
        <x:v>SIM-S104</x:v>
      </x:c>
      <x:c r="B625" s="54" t="str">
        <x:v>Ag</x:v>
      </x:c>
      <x:c r="C625" s="45" t="str">
        <x:v>20.36</x:v>
      </x:c>
      <x:c r="D625" s="45" t="n">
        <x:v>20.36</x:v>
      </x:c>
      <x:c r="E625" s="54" t="str">
        <x:v>mg/kg</x:v>
      </x:c>
      <x:c r="F625" s="45" t="n">
        <x:v>0.1</x:v>
      </x:c>
      <x:c r="G625" s="45" t="str">
        <x:v>模拟检测法-Ag</x:v>
      </x:c>
      <x:c r="H625" s="63" t="n">
        <x:v>46301</x:v>
      </x:c>
      <x:c r="I625" s="54" t="str">
        <x:v>SIM-LAB-04</x:v>
      </x:c>
      <x:c r="J625" s="45" t="str">
        <x:v>人工模拟结果，无对应检测报告</x:v>
      </x:c>
    </x:row>
    <x:row r="626">
      <x:c r="A626" s="54" t="str">
        <x:v>SIM-S104</x:v>
      </x:c>
      <x:c r="B626" s="54" t="str">
        <x:v>Cu</x:v>
      </x:c>
      <x:c r="C626" s="45" t="str">
        <x:v>0.3231</x:v>
      </x:c>
      <x:c r="D626" s="45" t="n">
        <x:v>0.3231</x:v>
      </x:c>
      <x:c r="E626" s="54" t="str">
        <x:v>%</x:v>
      </x:c>
      <x:c r="F626" s="45" t="n">
        <x:v>0.001</x:v>
      </x:c>
      <x:c r="G626" s="45" t="str">
        <x:v>模拟检测法-Cu</x:v>
      </x:c>
      <x:c r="H626" s="63" t="n">
        <x:v>46301</x:v>
      </x:c>
      <x:c r="I626" s="54" t="str">
        <x:v>SIM-LAB-04</x:v>
      </x:c>
      <x:c r="J626" s="45" t="str">
        <x:v>人工模拟结果，无对应检测报告</x:v>
      </x:c>
    </x:row>
    <x:row r="627">
      <x:c r="A627" s="54" t="str">
        <x:v>SIM-S104</x:v>
      </x:c>
      <x:c r="B627" s="54" t="str">
        <x:v>Pb</x:v>
      </x:c>
      <x:c r="C627" s="45" t="str">
        <x:v>1.3446</x:v>
      </x:c>
      <x:c r="D627" s="45" t="n">
        <x:v>1.3446</x:v>
      </x:c>
      <x:c r="E627" s="54" t="str">
        <x:v>%</x:v>
      </x:c>
      <x:c r="F627" s="45" t="n">
        <x:v>0.001</x:v>
      </x:c>
      <x:c r="G627" s="45" t="str">
        <x:v>模拟检测法-Pb</x:v>
      </x:c>
      <x:c r="H627" s="63" t="n">
        <x:v>46301</x:v>
      </x:c>
      <x:c r="I627" s="54" t="str">
        <x:v>SIM-LAB-04</x:v>
      </x:c>
      <x:c r="J627" s="45" t="str">
        <x:v>人工模拟结果，无对应检测报告</x:v>
      </x:c>
    </x:row>
    <x:row r="628">
      <x:c r="A628" s="54" t="str">
        <x:v>SIM-S104</x:v>
      </x:c>
      <x:c r="B628" s="54" t="str">
        <x:v>Zn</x:v>
      </x:c>
      <x:c r="C628" s="45" t="str">
        <x:v>2.6816</x:v>
      </x:c>
      <x:c r="D628" s="45" t="n">
        <x:v>2.6816</x:v>
      </x:c>
      <x:c r="E628" s="54" t="str">
        <x:v>%</x:v>
      </x:c>
      <x:c r="F628" s="45" t="n">
        <x:v>0.001</x:v>
      </x:c>
      <x:c r="G628" s="45" t="str">
        <x:v>模拟检测法-Zn</x:v>
      </x:c>
      <x:c r="H628" s="63" t="n">
        <x:v>46301</x:v>
      </x:c>
      <x:c r="I628" s="54" t="str">
        <x:v>SIM-LAB-04</x:v>
      </x:c>
      <x:c r="J628" s="45" t="str">
        <x:v>人工模拟结果，无对应检测报告</x:v>
      </x:c>
    </x:row>
    <x:row r="629">
      <x:c r="A629" s="54" t="str">
        <x:v>SIM-S104</x:v>
      </x:c>
      <x:c r="B629" s="54" t="str">
        <x:v>As</x:v>
      </x:c>
      <x:c r="C629" s="45" t="str">
        <x:v>116.7</x:v>
      </x:c>
      <x:c r="D629" s="45" t="n">
        <x:v>116.7</x:v>
      </x:c>
      <x:c r="E629" s="54" t="str">
        <x:v>mg/kg</x:v>
      </x:c>
      <x:c r="F629" s="45" t="n">
        <x:v>1</x:v>
      </x:c>
      <x:c r="G629" s="45" t="str">
        <x:v>模拟检测法-As</x:v>
      </x:c>
      <x:c r="H629" s="63" t="n">
        <x:v>46301</x:v>
      </x:c>
      <x:c r="I629" s="54" t="str">
        <x:v>SIM-LAB-04</x:v>
      </x:c>
      <x:c r="J629" s="45" t="str">
        <x:v>人工模拟结果，无对应检测报告</x:v>
      </x:c>
    </x:row>
    <x:row r="630">
      <x:c r="A630" s="54" t="str">
        <x:v>SIM-S105</x:v>
      </x:c>
      <x:c r="B630" s="54" t="str">
        <x:v>Au</x:v>
      </x:c>
      <x:c r="C630" s="45" t="str">
        <x:v>2.705</x:v>
      </x:c>
      <x:c r="D630" s="45" t="n">
        <x:v>2.705</x:v>
      </x:c>
      <x:c r="E630" s="54" t="str">
        <x:v>mg/kg</x:v>
      </x:c>
      <x:c r="F630" s="45" t="n">
        <x:v>0.005</x:v>
      </x:c>
      <x:c r="G630" s="45" t="str">
        <x:v>模拟检测法-Au</x:v>
      </x:c>
      <x:c r="H630" s="63" t="n">
        <x:v>46301</x:v>
      </x:c>
      <x:c r="I630" s="54" t="str">
        <x:v>SIM-LAB-04</x:v>
      </x:c>
      <x:c r="J630" s="45" t="str">
        <x:v>人工模拟结果，无对应检测报告</x:v>
      </x:c>
    </x:row>
    <x:row r="631">
      <x:c r="A631" s="54" t="str">
        <x:v>SIM-S105</x:v>
      </x:c>
      <x:c r="B631" s="54" t="str">
        <x:v>Ag</x:v>
      </x:c>
      <x:c r="C631" s="45" t="str">
        <x:v>23.39</x:v>
      </x:c>
      <x:c r="D631" s="45" t="n">
        <x:v>23.39</x:v>
      </x:c>
      <x:c r="E631" s="54" t="str">
        <x:v>mg/kg</x:v>
      </x:c>
      <x:c r="F631" s="45" t="n">
        <x:v>0.1</x:v>
      </x:c>
      <x:c r="G631" s="45" t="str">
        <x:v>模拟检测法-Ag</x:v>
      </x:c>
      <x:c r="H631" s="63" t="n">
        <x:v>46301</x:v>
      </x:c>
      <x:c r="I631" s="54" t="str">
        <x:v>SIM-LAB-04</x:v>
      </x:c>
      <x:c r="J631" s="45" t="str">
        <x:v>人工模拟结果，无对应检测报告</x:v>
      </x:c>
    </x:row>
    <x:row r="632">
      <x:c r="A632" s="54" t="str">
        <x:v>SIM-S105</x:v>
      </x:c>
      <x:c r="B632" s="54" t="str">
        <x:v>Cu</x:v>
      </x:c>
      <x:c r="C632" s="45" t="str">
        <x:v>0.371</x:v>
      </x:c>
      <x:c r="D632" s="45" t="n">
        <x:v>0.371</x:v>
      </x:c>
      <x:c r="E632" s="54" t="str">
        <x:v>%</x:v>
      </x:c>
      <x:c r="F632" s="45" t="n">
        <x:v>0.001</x:v>
      </x:c>
      <x:c r="G632" s="45" t="str">
        <x:v>模拟检测法-Cu</x:v>
      </x:c>
      <x:c r="H632" s="63" t="n">
        <x:v>46301</x:v>
      </x:c>
      <x:c r="I632" s="54" t="str">
        <x:v>SIM-LAB-04</x:v>
      </x:c>
      <x:c r="J632" s="45" t="str">
        <x:v>人工模拟结果，无对应检测报告</x:v>
      </x:c>
    </x:row>
    <x:row r="633">
      <x:c r="A633" s="54" t="str">
        <x:v>SIM-S105</x:v>
      </x:c>
      <x:c r="B633" s="54" t="str">
        <x:v>Pb</x:v>
      </x:c>
      <x:c r="C633" s="45" t="str">
        <x:v>1.5487</x:v>
      </x:c>
      <x:c r="D633" s="45" t="n">
        <x:v>1.5487</x:v>
      </x:c>
      <x:c r="E633" s="54" t="str">
        <x:v>%</x:v>
      </x:c>
      <x:c r="F633" s="45" t="n">
        <x:v>0.001</x:v>
      </x:c>
      <x:c r="G633" s="45" t="str">
        <x:v>模拟检测法-Pb</x:v>
      </x:c>
      <x:c r="H633" s="63" t="n">
        <x:v>46301</x:v>
      </x:c>
      <x:c r="I633" s="54" t="str">
        <x:v>SIM-LAB-04</x:v>
      </x:c>
      <x:c r="J633" s="45" t="str">
        <x:v>人工模拟结果，无对应检测报告</x:v>
      </x:c>
    </x:row>
    <x:row r="634">
      <x:c r="A634" s="54" t="str">
        <x:v>SIM-S105</x:v>
      </x:c>
      <x:c r="B634" s="54" t="str">
        <x:v>Zn</x:v>
      </x:c>
      <x:c r="C634" s="45" t="str">
        <x:v>3.1024</x:v>
      </x:c>
      <x:c r="D634" s="45" t="n">
        <x:v>3.1024</x:v>
      </x:c>
      <x:c r="E634" s="54" t="str">
        <x:v>%</x:v>
      </x:c>
      <x:c r="F634" s="45" t="n">
        <x:v>0.001</x:v>
      </x:c>
      <x:c r="G634" s="45" t="str">
        <x:v>模拟检测法-Zn</x:v>
      </x:c>
      <x:c r="H634" s="63" t="n">
        <x:v>46301</x:v>
      </x:c>
      <x:c r="I634" s="54" t="str">
        <x:v>SIM-LAB-04</x:v>
      </x:c>
      <x:c r="J634" s="45" t="str">
        <x:v>人工模拟结果，无对应检测报告</x:v>
      </x:c>
    </x:row>
    <x:row r="635">
      <x:c r="A635" s="54" t="str">
        <x:v>SIM-S105</x:v>
      </x:c>
      <x:c r="B635" s="54" t="str">
        <x:v>As</x:v>
      </x:c>
      <x:c r="C635" s="45" t="str">
        <x:v>133.8</x:v>
      </x:c>
      <x:c r="D635" s="45" t="n">
        <x:v>133.8</x:v>
      </x:c>
      <x:c r="E635" s="54" t="str">
        <x:v>mg/kg</x:v>
      </x:c>
      <x:c r="F635" s="45" t="n">
        <x:v>1</x:v>
      </x:c>
      <x:c r="G635" s="45" t="str">
        <x:v>模拟检测法-As</x:v>
      </x:c>
      <x:c r="H635" s="63" t="n">
        <x:v>46301</x:v>
      </x:c>
      <x:c r="I635" s="54" t="str">
        <x:v>SIM-LAB-04</x:v>
      </x:c>
      <x:c r="J635" s="45" t="str">
        <x:v>人工模拟结果，无对应检测报告</x:v>
      </x:c>
    </x:row>
    <x:row r="636">
      <x:c r="A636" s="54" t="str">
        <x:v>SIM-S106</x:v>
      </x:c>
      <x:c r="B636" s="54" t="str">
        <x:v>Au</x:v>
      </x:c>
      <x:c r="C636" s="45" t="str">
        <x:v>2.826</x:v>
      </x:c>
      <x:c r="D636" s="45" t="n">
        <x:v>2.826</x:v>
      </x:c>
      <x:c r="E636" s="54" t="str">
        <x:v>mg/kg</x:v>
      </x:c>
      <x:c r="F636" s="45" t="n">
        <x:v>0.005</x:v>
      </x:c>
      <x:c r="G636" s="45" t="str">
        <x:v>模拟检测法-Au</x:v>
      </x:c>
      <x:c r="H636" s="63" t="n">
        <x:v>46301</x:v>
      </x:c>
      <x:c r="I636" s="54" t="str">
        <x:v>SIM-LAB-04</x:v>
      </x:c>
      <x:c r="J636" s="45" t="str">
        <x:v>人工模拟结果，无对应检测报告</x:v>
      </x:c>
    </x:row>
    <x:row r="637">
      <x:c r="A637" s="54" t="str">
        <x:v>SIM-S106</x:v>
      </x:c>
      <x:c r="B637" s="54" t="str">
        <x:v>Ag</x:v>
      </x:c>
      <x:c r="C637" s="45" t="str">
        <x:v>24.8</x:v>
      </x:c>
      <x:c r="D637" s="45" t="n">
        <x:v>24.8</x:v>
      </x:c>
      <x:c r="E637" s="54" t="str">
        <x:v>mg/kg</x:v>
      </x:c>
      <x:c r="F637" s="45" t="n">
        <x:v>0.1</x:v>
      </x:c>
      <x:c r="G637" s="45" t="str">
        <x:v>模拟检测法-Ag</x:v>
      </x:c>
      <x:c r="H637" s="63" t="n">
        <x:v>46301</x:v>
      </x:c>
      <x:c r="I637" s="54" t="str">
        <x:v>SIM-LAB-04</x:v>
      </x:c>
      <x:c r="J637" s="45" t="str">
        <x:v>人工模拟结果，无对应检测报告</x:v>
      </x:c>
    </x:row>
    <x:row r="638">
      <x:c r="A638" s="54" t="str">
        <x:v>SIM-S106</x:v>
      </x:c>
      <x:c r="B638" s="54" t="str">
        <x:v>Cu</x:v>
      </x:c>
      <x:c r="C638" s="45" t="str">
        <x:v>0.3883</x:v>
      </x:c>
      <x:c r="D638" s="45" t="n">
        <x:v>0.3883</x:v>
      </x:c>
      <x:c r="E638" s="54" t="str">
        <x:v>%</x:v>
      </x:c>
      <x:c r="F638" s="45" t="n">
        <x:v>0.001</x:v>
      </x:c>
      <x:c r="G638" s="45" t="str">
        <x:v>模拟检测法-Cu</x:v>
      </x:c>
      <x:c r="H638" s="63" t="n">
        <x:v>46301</x:v>
      </x:c>
      <x:c r="I638" s="54" t="str">
        <x:v>SIM-LAB-04</x:v>
      </x:c>
      <x:c r="J638" s="45" t="str">
        <x:v>人工模拟结果，无对应检测报告</x:v>
      </x:c>
    </x:row>
    <x:row r="639">
      <x:c r="A639" s="54" t="str">
        <x:v>SIM-S106</x:v>
      </x:c>
      <x:c r="B639" s="54" t="str">
        <x:v>Pb</x:v>
      </x:c>
      <x:c r="C639" s="45" t="str">
        <x:v>1.6225</x:v>
      </x:c>
      <x:c r="D639" s="45" t="n">
        <x:v>1.6225</x:v>
      </x:c>
      <x:c r="E639" s="54" t="str">
        <x:v>%</x:v>
      </x:c>
      <x:c r="F639" s="45" t="n">
        <x:v>0.001</x:v>
      </x:c>
      <x:c r="G639" s="45" t="str">
        <x:v>模拟检测法-Pb</x:v>
      </x:c>
      <x:c r="H639" s="63" t="n">
        <x:v>46301</x:v>
      </x:c>
      <x:c r="I639" s="54" t="str">
        <x:v>SIM-LAB-04</x:v>
      </x:c>
      <x:c r="J639" s="45" t="str">
        <x:v>人工模拟结果，无对应检测报告</x:v>
      </x:c>
    </x:row>
    <x:row r="640">
      <x:c r="A640" s="54" t="str">
        <x:v>SIM-S106</x:v>
      </x:c>
      <x:c r="B640" s="54" t="str">
        <x:v>Zn</x:v>
      </x:c>
      <x:c r="C640" s="45" t="str">
        <x:v>3.2653</x:v>
      </x:c>
      <x:c r="D640" s="45" t="n">
        <x:v>3.2653</x:v>
      </x:c>
      <x:c r="E640" s="54" t="str">
        <x:v>%</x:v>
      </x:c>
      <x:c r="F640" s="45" t="n">
        <x:v>0.001</x:v>
      </x:c>
      <x:c r="G640" s="45" t="str">
        <x:v>模拟检测法-Zn</x:v>
      </x:c>
      <x:c r="H640" s="63" t="n">
        <x:v>46301</x:v>
      </x:c>
      <x:c r="I640" s="54" t="str">
        <x:v>SIM-LAB-04</x:v>
      </x:c>
      <x:c r="J640" s="45" t="str">
        <x:v>人工模拟结果，无对应检测报告</x:v>
      </x:c>
    </x:row>
    <x:row r="641">
      <x:c r="A641" s="54" t="str">
        <x:v>SIM-S106</x:v>
      </x:c>
      <x:c r="B641" s="54" t="str">
        <x:v>As</x:v>
      </x:c>
      <x:c r="C641" s="45" t="str">
        <x:v>140.0</x:v>
      </x:c>
      <x:c r="D641" s="45" t="n">
        <x:v>140</x:v>
      </x:c>
      <x:c r="E641" s="54" t="str">
        <x:v>mg/kg</x:v>
      </x:c>
      <x:c r="F641" s="45" t="n">
        <x:v>1</x:v>
      </x:c>
      <x:c r="G641" s="45" t="str">
        <x:v>模拟检测法-As</x:v>
      </x:c>
      <x:c r="H641" s="63" t="n">
        <x:v>46301</x:v>
      </x:c>
      <x:c r="I641" s="54" t="str">
        <x:v>SIM-LAB-04</x:v>
      </x:c>
      <x:c r="J641" s="45" t="str">
        <x:v>人工模拟结果，无对应检测报告</x:v>
      </x:c>
    </x:row>
    <x:row r="642">
      <x:c r="A642" s="54" t="str">
        <x:v>SIM-S107</x:v>
      </x:c>
      <x:c r="B642" s="54" t="str">
        <x:v>Au</x:v>
      </x:c>
      <x:c r="C642" s="45" t="str">
        <x:v>2.698</x:v>
      </x:c>
      <x:c r="D642" s="45" t="n">
        <x:v>2.698</x:v>
      </x:c>
      <x:c r="E642" s="54" t="str">
        <x:v>mg/kg</x:v>
      </x:c>
      <x:c r="F642" s="45" t="n">
        <x:v>0.005</x:v>
      </x:c>
      <x:c r="G642" s="45" t="str">
        <x:v>模拟检测法-Au</x:v>
      </x:c>
      <x:c r="H642" s="63" t="n">
        <x:v>46301</x:v>
      </x:c>
      <x:c r="I642" s="54" t="str">
        <x:v>SIM-LAB-04</x:v>
      </x:c>
      <x:c r="J642" s="45" t="str">
        <x:v>人工模拟结果，无对应检测报告</x:v>
      </x:c>
    </x:row>
    <x:row r="643">
      <x:c r="A643" s="54" t="str">
        <x:v>SIM-S107</x:v>
      </x:c>
      <x:c r="B643" s="54" t="str">
        <x:v>Ag</x:v>
      </x:c>
      <x:c r="C643" s="45" t="str">
        <x:v>24.04</x:v>
      </x:c>
      <x:c r="D643" s="45" t="n">
        <x:v>24.04</x:v>
      </x:c>
      <x:c r="E643" s="54" t="str">
        <x:v>mg/kg</x:v>
      </x:c>
      <x:c r="F643" s="45" t="n">
        <x:v>0.1</x:v>
      </x:c>
      <x:c r="G643" s="45" t="str">
        <x:v>模拟检测法-Ag</x:v>
      </x:c>
      <x:c r="H643" s="63" t="n">
        <x:v>46301</x:v>
      </x:c>
      <x:c r="I643" s="54" t="str">
        <x:v>SIM-LAB-04</x:v>
      </x:c>
      <x:c r="J643" s="45" t="str">
        <x:v>人工模拟结果，无对应检测报告</x:v>
      </x:c>
    </x:row>
    <x:row r="644">
      <x:c r="A644" s="54" t="str">
        <x:v>SIM-S107</x:v>
      </x:c>
      <x:c r="B644" s="54" t="str">
        <x:v>Cu</x:v>
      </x:c>
      <x:c r="C644" s="45" t="str">
        <x:v>0.37</x:v>
      </x:c>
      <x:c r="D644" s="45" t="n">
        <x:v>0.37</x:v>
      </x:c>
      <x:c r="E644" s="54" t="str">
        <x:v>%</x:v>
      </x:c>
      <x:c r="F644" s="45" t="n">
        <x:v>0.001</x:v>
      </x:c>
      <x:c r="G644" s="45" t="str">
        <x:v>模拟检测法-Cu</x:v>
      </x:c>
      <x:c r="H644" s="63" t="n">
        <x:v>46301</x:v>
      </x:c>
      <x:c r="I644" s="54" t="str">
        <x:v>SIM-LAB-04</x:v>
      </x:c>
      <x:c r="J644" s="45" t="str">
        <x:v>人工模拟结果，无对应检测报告</x:v>
      </x:c>
    </x:row>
    <x:row r="645">
      <x:c r="A645" s="54" t="str">
        <x:v>SIM-S107</x:v>
      </x:c>
      <x:c r="B645" s="54" t="str">
        <x:v>Pb</x:v>
      </x:c>
      <x:c r="C645" s="45" t="str">
        <x:v>1.5454</x:v>
      </x:c>
      <x:c r="D645" s="45" t="n">
        <x:v>1.5454</x:v>
      </x:c>
      <x:c r="E645" s="54" t="str">
        <x:v>%</x:v>
      </x:c>
      <x:c r="F645" s="45" t="n">
        <x:v>0.001</x:v>
      </x:c>
      <x:c r="G645" s="45" t="str">
        <x:v>模拟检测法-Pb</x:v>
      </x:c>
      <x:c r="H645" s="63" t="n">
        <x:v>46301</x:v>
      </x:c>
      <x:c r="I645" s="54" t="str">
        <x:v>SIM-LAB-04</x:v>
      </x:c>
      <x:c r="J645" s="45" t="str">
        <x:v>人工模拟结果，无对应检测报告</x:v>
      </x:c>
    </x:row>
    <x:row r="646">
      <x:c r="A646" s="54" t="str">
        <x:v>SIM-S107</x:v>
      </x:c>
      <x:c r="B646" s="54" t="str">
        <x:v>Zn</x:v>
      </x:c>
      <x:c r="C646" s="45" t="str">
        <x:v>3.1247</x:v>
      </x:c>
      <x:c r="D646" s="45" t="n">
        <x:v>3.1247</x:v>
      </x:c>
      <x:c r="E646" s="54" t="str">
        <x:v>%</x:v>
      </x:c>
      <x:c r="F646" s="45" t="n">
        <x:v>0.001</x:v>
      </x:c>
      <x:c r="G646" s="45" t="str">
        <x:v>模拟检测法-Zn</x:v>
      </x:c>
      <x:c r="H646" s="63" t="n">
        <x:v>46301</x:v>
      </x:c>
      <x:c r="I646" s="54" t="str">
        <x:v>SIM-LAB-04</x:v>
      </x:c>
      <x:c r="J646" s="45" t="str">
        <x:v>人工模拟结果，无对应检测报告</x:v>
      </x:c>
    </x:row>
    <x:row r="647">
      <x:c r="A647" s="54" t="str">
        <x:v>SIM-S107</x:v>
      </x:c>
      <x:c r="B647" s="54" t="str">
        <x:v>As</x:v>
      </x:c>
      <x:c r="C647" s="45" t="str">
        <x:v>133.6</x:v>
      </x:c>
      <x:c r="D647" s="45" t="n">
        <x:v>133.6</x:v>
      </x:c>
      <x:c r="E647" s="54" t="str">
        <x:v>mg/kg</x:v>
      </x:c>
      <x:c r="F647" s="45" t="n">
        <x:v>1</x:v>
      </x:c>
      <x:c r="G647" s="45" t="str">
        <x:v>模拟检测法-As</x:v>
      </x:c>
      <x:c r="H647" s="63" t="n">
        <x:v>46301</x:v>
      </x:c>
      <x:c r="I647" s="54" t="str">
        <x:v>SIM-LAB-04</x:v>
      </x:c>
      <x:c r="J647" s="45" t="str">
        <x:v>人工模拟结果，无对应检测报告</x:v>
      </x:c>
    </x:row>
    <x:row r="648">
      <x:c r="A648" s="54" t="str">
        <x:v>SIM-S108</x:v>
      </x:c>
      <x:c r="B648" s="54" t="str">
        <x:v>Au</x:v>
      </x:c>
      <x:c r="C648" s="45" t="str">
        <x:v>2.353</x:v>
      </x:c>
      <x:c r="D648" s="45" t="n">
        <x:v>2.353</x:v>
      </x:c>
      <x:c r="E648" s="54" t="str">
        <x:v>mg/kg</x:v>
      </x:c>
      <x:c r="F648" s="45" t="n">
        <x:v>0.005</x:v>
      </x:c>
      <x:c r="G648" s="45" t="str">
        <x:v>模拟检测法-Au</x:v>
      </x:c>
      <x:c r="H648" s="63" t="n">
        <x:v>46301</x:v>
      </x:c>
      <x:c r="I648" s="54" t="str">
        <x:v>SIM-LAB-04</x:v>
      </x:c>
      <x:c r="J648" s="45" t="str">
        <x:v>人工模拟结果，无对应检测报告</x:v>
      </x:c>
    </x:row>
    <x:row r="649">
      <x:c r="A649" s="54" t="str">
        <x:v>SIM-S108</x:v>
      </x:c>
      <x:c r="B649" s="54" t="str">
        <x:v>Ag</x:v>
      </x:c>
      <x:c r="C649" s="45" t="str">
        <x:v>21.07</x:v>
      </x:c>
      <x:c r="D649" s="45" t="n">
        <x:v>21.07</x:v>
      </x:c>
      <x:c r="E649" s="54" t="str">
        <x:v>mg/kg</x:v>
      </x:c>
      <x:c r="F649" s="45" t="n">
        <x:v>0.1</x:v>
      </x:c>
      <x:c r="G649" s="45" t="str">
        <x:v>模拟检测法-Ag</x:v>
      </x:c>
      <x:c r="H649" s="63" t="n">
        <x:v>46301</x:v>
      </x:c>
      <x:c r="I649" s="54" t="str">
        <x:v>SIM-LAB-04</x:v>
      </x:c>
      <x:c r="J649" s="45" t="str">
        <x:v>人工模拟结果，无对应检测报告</x:v>
      </x:c>
    </x:row>
    <x:row r="650">
      <x:c r="A650" s="54" t="str">
        <x:v>SIM-S108</x:v>
      </x:c>
      <x:c r="B650" s="54" t="str">
        <x:v>Cu</x:v>
      </x:c>
      <x:c r="C650" s="45" t="str">
        <x:v>0.3213</x:v>
      </x:c>
      <x:c r="D650" s="45" t="n">
        <x:v>0.3213</x:v>
      </x:c>
      <x:c r="E650" s="54" t="str">
        <x:v>%</x:v>
      </x:c>
      <x:c r="F650" s="45" t="n">
        <x:v>0.001</x:v>
      </x:c>
      <x:c r="G650" s="45" t="str">
        <x:v>模拟检测法-Cu</x:v>
      </x:c>
      <x:c r="H650" s="63" t="n">
        <x:v>46301</x:v>
      </x:c>
      <x:c r="I650" s="54" t="str">
        <x:v>SIM-LAB-04</x:v>
      </x:c>
      <x:c r="J650" s="45" t="str">
        <x:v>人工模拟结果，无对应检测报告</x:v>
      </x:c>
    </x:row>
    <x:row r="651">
      <x:c r="A651" s="54" t="str">
        <x:v>SIM-S108</x:v>
      </x:c>
      <x:c r="B651" s="54" t="str">
        <x:v>Pb</x:v>
      </x:c>
      <x:c r="C651" s="45" t="str">
        <x:v>1.3381</x:v>
      </x:c>
      <x:c r="D651" s="45" t="n">
        <x:v>1.3381</x:v>
      </x:c>
      <x:c r="E651" s="54" t="str">
        <x:v>%</x:v>
      </x:c>
      <x:c r="F651" s="45" t="n">
        <x:v>0.001</x:v>
      </x:c>
      <x:c r="G651" s="45" t="str">
        <x:v>模拟检测法-Pb</x:v>
      </x:c>
      <x:c r="H651" s="63" t="n">
        <x:v>46301</x:v>
      </x:c>
      <x:c r="I651" s="54" t="str">
        <x:v>SIM-LAB-04</x:v>
      </x:c>
      <x:c r="J651" s="45" t="str">
        <x:v>人工模拟结果，无对应检测报告</x:v>
      </x:c>
    </x:row>
    <x:row r="652">
      <x:c r="A652" s="54" t="str">
        <x:v>SIM-S108</x:v>
      </x:c>
      <x:c r="B652" s="54" t="str">
        <x:v>Zn</x:v>
      </x:c>
      <x:c r="C652" s="45" t="str">
        <x:v>2.7184</x:v>
      </x:c>
      <x:c r="D652" s="45" t="n">
        <x:v>2.7184</x:v>
      </x:c>
      <x:c r="E652" s="54" t="str">
        <x:v>%</x:v>
      </x:c>
      <x:c r="F652" s="45" t="n">
        <x:v>0.001</x:v>
      </x:c>
      <x:c r="G652" s="45" t="str">
        <x:v>模拟检测法-Zn</x:v>
      </x:c>
      <x:c r="H652" s="63" t="n">
        <x:v>46301</x:v>
      </x:c>
      <x:c r="I652" s="54" t="str">
        <x:v>SIM-LAB-04</x:v>
      </x:c>
      <x:c r="J652" s="45" t="str">
        <x:v>人工模拟结果，无对应检测报告</x:v>
      </x:c>
    </x:row>
    <x:row r="653">
      <x:c r="A653" s="54" t="str">
        <x:v>SIM-S108</x:v>
      </x:c>
      <x:c r="B653" s="54" t="str">
        <x:v>As</x:v>
      </x:c>
      <x:c r="C653" s="45" t="str">
        <x:v>116.4</x:v>
      </x:c>
      <x:c r="D653" s="45" t="n">
        <x:v>116.4</x:v>
      </x:c>
      <x:c r="E653" s="54" t="str">
        <x:v>mg/kg</x:v>
      </x:c>
      <x:c r="F653" s="45" t="n">
        <x:v>1</x:v>
      </x:c>
      <x:c r="G653" s="45" t="str">
        <x:v>模拟检测法-As</x:v>
      </x:c>
      <x:c r="H653" s="63" t="n">
        <x:v>46301</x:v>
      </x:c>
      <x:c r="I653" s="54" t="str">
        <x:v>SIM-LAB-04</x:v>
      </x:c>
      <x:c r="J653" s="45" t="str">
        <x:v>人工模拟结果，无对应检测报告</x:v>
      </x:c>
    </x:row>
    <x:row r="654">
      <x:c r="A654" s="54" t="str">
        <x:v>SIM-S109</x:v>
      </x:c>
      <x:c r="B654" s="54" t="str">
        <x:v>Au</x:v>
      </x:c>
      <x:c r="C654" s="45" t="str">
        <x:v>1.871</x:v>
      </x:c>
      <x:c r="D654" s="45" t="n">
        <x:v>1.871</x:v>
      </x:c>
      <x:c r="E654" s="54" t="str">
        <x:v>mg/kg</x:v>
      </x:c>
      <x:c r="F654" s="45" t="n">
        <x:v>0.005</x:v>
      </x:c>
      <x:c r="G654" s="45" t="str">
        <x:v>模拟检测法-Au</x:v>
      </x:c>
      <x:c r="H654" s="63" t="n">
        <x:v>46301</x:v>
      </x:c>
      <x:c r="I654" s="54" t="str">
        <x:v>SIM-LAB-04</x:v>
      </x:c>
      <x:c r="J654" s="45" t="str">
        <x:v>人工模拟结果，无对应检测报告</x:v>
      </x:c>
    </x:row>
    <x:row r="655">
      <x:c r="A655" s="54" t="str">
        <x:v>SIM-S109</x:v>
      </x:c>
      <x:c r="B655" s="54" t="str">
        <x:v>Ag</x:v>
      </x:c>
      <x:c r="C655" s="45" t="str">
        <x:v>16.58</x:v>
      </x:c>
      <x:c r="D655" s="45" t="n">
        <x:v>16.58</x:v>
      </x:c>
      <x:c r="E655" s="54" t="str">
        <x:v>mg/kg</x:v>
      </x:c>
      <x:c r="F655" s="45" t="n">
        <x:v>0.1</x:v>
      </x:c>
      <x:c r="G655" s="45" t="str">
        <x:v>模拟检测法-Ag</x:v>
      </x:c>
      <x:c r="H655" s="63" t="n">
        <x:v>46301</x:v>
      </x:c>
      <x:c r="I655" s="54" t="str">
        <x:v>SIM-LAB-04</x:v>
      </x:c>
      <x:c r="J655" s="45" t="str">
        <x:v>人工模拟结果，无对应检测报告</x:v>
      </x:c>
    </x:row>
    <x:row r="656">
      <x:c r="A656" s="54" t="str">
        <x:v>SIM-S109</x:v>
      </x:c>
      <x:c r="B656" s="54" t="str">
        <x:v>Cu</x:v>
      </x:c>
      <x:c r="C656" s="45" t="str">
        <x:v>0.2547</x:v>
      </x:c>
      <x:c r="D656" s="45" t="n">
        <x:v>0.2547</x:v>
      </x:c>
      <x:c r="E656" s="54" t="str">
        <x:v>%</x:v>
      </x:c>
      <x:c r="F656" s="45" t="n">
        <x:v>0.001</x:v>
      </x:c>
      <x:c r="G656" s="45" t="str">
        <x:v>模拟检测法-Cu</x:v>
      </x:c>
      <x:c r="H656" s="63" t="n">
        <x:v>46301</x:v>
      </x:c>
      <x:c r="I656" s="54" t="str">
        <x:v>SIM-LAB-04</x:v>
      </x:c>
      <x:c r="J656" s="45" t="str">
        <x:v>人工模拟结果，无对应检测报告</x:v>
      </x:c>
    </x:row>
    <x:row r="657">
      <x:c r="A657" s="54" t="str">
        <x:v>SIM-S109</x:v>
      </x:c>
      <x:c r="B657" s="54" t="str">
        <x:v>Pb</x:v>
      </x:c>
      <x:c r="C657" s="45" t="str">
        <x:v>1.0538</x:v>
      </x:c>
      <x:c r="D657" s="45" t="n">
        <x:v>1.0538</x:v>
      </x:c>
      <x:c r="E657" s="54" t="str">
        <x:v>%</x:v>
      </x:c>
      <x:c r="F657" s="45" t="n">
        <x:v>0.001</x:v>
      </x:c>
      <x:c r="G657" s="45" t="str">
        <x:v>模拟检测法-Pb</x:v>
      </x:c>
      <x:c r="H657" s="63" t="n">
        <x:v>46301</x:v>
      </x:c>
      <x:c r="I657" s="54" t="str">
        <x:v>SIM-LAB-04</x:v>
      </x:c>
      <x:c r="J657" s="45" t="str">
        <x:v>人工模拟结果，无对应检测报告</x:v>
      </x:c>
    </x:row>
    <x:row r="658">
      <x:c r="A658" s="54" t="str">
        <x:v>SIM-S109</x:v>
      </x:c>
      <x:c r="B658" s="54" t="str">
        <x:v>Zn</x:v>
      </x:c>
      <x:c r="C658" s="45" t="str">
        <x:v>2.1504</x:v>
      </x:c>
      <x:c r="D658" s="45" t="n">
        <x:v>2.1504</x:v>
      </x:c>
      <x:c r="E658" s="54" t="str">
        <x:v>%</x:v>
      </x:c>
      <x:c r="F658" s="45" t="n">
        <x:v>0.001</x:v>
      </x:c>
      <x:c r="G658" s="45" t="str">
        <x:v>模拟检测法-Zn</x:v>
      </x:c>
      <x:c r="H658" s="63" t="n">
        <x:v>46301</x:v>
      </x:c>
      <x:c r="I658" s="54" t="str">
        <x:v>SIM-LAB-04</x:v>
      </x:c>
      <x:c r="J658" s="45" t="str">
        <x:v>人工模拟结果，无对应检测报告</x:v>
      </x:c>
    </x:row>
    <x:row r="659">
      <x:c r="A659" s="54" t="str">
        <x:v>SIM-S109</x:v>
      </x:c>
      <x:c r="B659" s="54" t="str">
        <x:v>As</x:v>
      </x:c>
      <x:c r="C659" s="45" t="str">
        <x:v>92.8</x:v>
      </x:c>
      <x:c r="D659" s="45" t="n">
        <x:v>92.8</x:v>
      </x:c>
      <x:c r="E659" s="54" t="str">
        <x:v>mg/kg</x:v>
      </x:c>
      <x:c r="F659" s="45" t="n">
        <x:v>1</x:v>
      </x:c>
      <x:c r="G659" s="45" t="str">
        <x:v>模拟检测法-As</x:v>
      </x:c>
      <x:c r="H659" s="63" t="n">
        <x:v>46301</x:v>
      </x:c>
      <x:c r="I659" s="54" t="str">
        <x:v>SIM-LAB-04</x:v>
      </x:c>
      <x:c r="J659" s="45" t="str">
        <x:v>人工模拟结果，无对应检测报告</x:v>
      </x:c>
    </x:row>
    <x:row r="660">
      <x:c r="A660" s="54" t="str">
        <x:v>SIM-S110</x:v>
      </x:c>
      <x:c r="B660" s="54" t="str">
        <x:v>Au</x:v>
      </x:c>
      <x:c r="C660" s="45" t="str">
        <x:v>1.348</x:v>
      </x:c>
      <x:c r="D660" s="45" t="n">
        <x:v>1.348</x:v>
      </x:c>
      <x:c r="E660" s="54" t="str">
        <x:v>mg/kg</x:v>
      </x:c>
      <x:c r="F660" s="45" t="n">
        <x:v>0.005</x:v>
      </x:c>
      <x:c r="G660" s="45" t="str">
        <x:v>模拟检测法-Au</x:v>
      </x:c>
      <x:c r="H660" s="63" t="n">
        <x:v>46301</x:v>
      </x:c>
      <x:c r="I660" s="54" t="str">
        <x:v>SIM-LAB-04</x:v>
      </x:c>
      <x:c r="J660" s="45" t="str">
        <x:v>人工模拟结果，无对应检测报告</x:v>
      </x:c>
    </x:row>
    <x:row r="661">
      <x:c r="A661" s="54" t="str">
        <x:v>SIM-S110</x:v>
      </x:c>
      <x:c r="B661" s="54" t="str">
        <x:v>Ag</x:v>
      </x:c>
      <x:c r="C661" s="45" t="str">
        <x:v>11.73</x:v>
      </x:c>
      <x:c r="D661" s="45" t="n">
        <x:v>11.73</x:v>
      </x:c>
      <x:c r="E661" s="54" t="str">
        <x:v>mg/kg</x:v>
      </x:c>
      <x:c r="F661" s="45" t="n">
        <x:v>0.1</x:v>
      </x:c>
      <x:c r="G661" s="45" t="str">
        <x:v>模拟检测法-Ag</x:v>
      </x:c>
      <x:c r="H661" s="63" t="n">
        <x:v>46301</x:v>
      </x:c>
      <x:c r="I661" s="54" t="str">
        <x:v>SIM-LAB-04</x:v>
      </x:c>
      <x:c r="J661" s="45" t="str">
        <x:v>人工模拟结果，无对应检测报告</x:v>
      </x:c>
    </x:row>
    <x:row r="662">
      <x:c r="A662" s="54" t="str">
        <x:v>SIM-S110</x:v>
      </x:c>
      <x:c r="B662" s="54" t="str">
        <x:v>Cu</x:v>
      </x:c>
      <x:c r="C662" s="45" t="str">
        <x:v>0.1851</x:v>
      </x:c>
      <x:c r="D662" s="45" t="n">
        <x:v>0.1851</x:v>
      </x:c>
      <x:c r="E662" s="54" t="str">
        <x:v>%</x:v>
      </x:c>
      <x:c r="F662" s="45" t="n">
        <x:v>0.001</x:v>
      </x:c>
      <x:c r="G662" s="45" t="str">
        <x:v>模拟检测法-Cu</x:v>
      </x:c>
      <x:c r="H662" s="63" t="n">
        <x:v>46301</x:v>
      </x:c>
      <x:c r="I662" s="54" t="str">
        <x:v>SIM-LAB-04</x:v>
      </x:c>
      <x:c r="J662" s="45" t="str">
        <x:v>人工模拟结果，无对应检测报告</x:v>
      </x:c>
    </x:row>
    <x:row r="663">
      <x:c r="A663" s="54" t="str">
        <x:v>SIM-S110</x:v>
      </x:c>
      <x:c r="B663" s="54" t="str">
        <x:v>Pb</x:v>
      </x:c>
      <x:c r="C663" s="45" t="str">
        <x:v>0.7558</x:v>
      </x:c>
      <x:c r="D663" s="45" t="n">
        <x:v>0.7558</x:v>
      </x:c>
      <x:c r="E663" s="54" t="str">
        <x:v>%</x:v>
      </x:c>
      <x:c r="F663" s="45" t="n">
        <x:v>0.001</x:v>
      </x:c>
      <x:c r="G663" s="45" t="str">
        <x:v>模拟检测法-Pb</x:v>
      </x:c>
      <x:c r="H663" s="63" t="n">
        <x:v>46301</x:v>
      </x:c>
      <x:c r="I663" s="54" t="str">
        <x:v>SIM-LAB-04</x:v>
      </x:c>
      <x:c r="J663" s="45" t="str">
        <x:v>人工模拟结果，无对应检测报告</x:v>
      </x:c>
    </x:row>
    <x:row r="664">
      <x:c r="A664" s="54" t="str">
        <x:v>SIM-S110</x:v>
      </x:c>
      <x:c r="B664" s="54" t="str">
        <x:v>Zn</x:v>
      </x:c>
      <x:c r="C664" s="45" t="str">
        <x:v>1.548</x:v>
      </x:c>
      <x:c r="D664" s="45" t="n">
        <x:v>1.548</x:v>
      </x:c>
      <x:c r="E664" s="54" t="str">
        <x:v>%</x:v>
      </x:c>
      <x:c r="F664" s="45" t="n">
        <x:v>0.001</x:v>
      </x:c>
      <x:c r="G664" s="45" t="str">
        <x:v>模拟检测法-Zn</x:v>
      </x:c>
      <x:c r="H664" s="63" t="n">
        <x:v>46301</x:v>
      </x:c>
      <x:c r="I664" s="54" t="str">
        <x:v>SIM-LAB-04</x:v>
      </x:c>
      <x:c r="J664" s="45" t="str">
        <x:v>人工模拟结果，无对应检测报告</x:v>
      </x:c>
    </x:row>
    <x:row r="665">
      <x:c r="A665" s="54" t="str">
        <x:v>SIM-S110</x:v>
      </x:c>
      <x:c r="B665" s="54" t="str">
        <x:v>As</x:v>
      </x:c>
      <x:c r="C665" s="45" t="str">
        <x:v>67.8</x:v>
      </x:c>
      <x:c r="D665" s="45" t="n">
        <x:v>67.8</x:v>
      </x:c>
      <x:c r="E665" s="54" t="str">
        <x:v>mg/kg</x:v>
      </x:c>
      <x:c r="F665" s="45" t="n">
        <x:v>1</x:v>
      </x:c>
      <x:c r="G665" s="45" t="str">
        <x:v>模拟检测法-As</x:v>
      </x:c>
      <x:c r="H665" s="63" t="n">
        <x:v>46301</x:v>
      </x:c>
      <x:c r="I665" s="54" t="str">
        <x:v>SIM-LAB-04</x:v>
      </x:c>
      <x:c r="J665" s="45" t="str">
        <x:v>人工模拟结果，无对应检测报告</x:v>
      </x:c>
    </x:row>
    <x:row r="666">
      <x:c r="A666" s="54" t="str">
        <x:v>SIM-S111</x:v>
      </x:c>
      <x:c r="B666" s="54" t="str">
        <x:v>Au</x:v>
      </x:c>
      <x:c r="C666" s="45" t="str">
        <x:v>0.877</x:v>
      </x:c>
      <x:c r="D666" s="45" t="n">
        <x:v>0.877</x:v>
      </x:c>
      <x:c r="E666" s="54" t="str">
        <x:v>mg/kg</x:v>
      </x:c>
      <x:c r="F666" s="45" t="n">
        <x:v>0.005</x:v>
      </x:c>
      <x:c r="G666" s="45" t="str">
        <x:v>模拟检测法-Au</x:v>
      </x:c>
      <x:c r="H666" s="63" t="n">
        <x:v>46301</x:v>
      </x:c>
      <x:c r="I666" s="54" t="str">
        <x:v>SIM-LAB-04</x:v>
      </x:c>
      <x:c r="J666" s="45" t="str">
        <x:v>人工模拟结果，无对应检测报告</x:v>
      </x:c>
    </x:row>
    <x:row r="667">
      <x:c r="A667" s="54" t="str">
        <x:v>SIM-S111</x:v>
      </x:c>
      <x:c r="B667" s="54" t="str">
        <x:v>Ag</x:v>
      </x:c>
      <x:c r="C667" s="45" t="str">
        <x:v>7.66</x:v>
      </x:c>
      <x:c r="D667" s="45" t="n">
        <x:v>7.66</x:v>
      </x:c>
      <x:c r="E667" s="54" t="str">
        <x:v>mg/kg</x:v>
      </x:c>
      <x:c r="F667" s="45" t="n">
        <x:v>0.1</x:v>
      </x:c>
      <x:c r="G667" s="45" t="str">
        <x:v>模拟检测法-Ag</x:v>
      </x:c>
      <x:c r="H667" s="63" t="n">
        <x:v>46301</x:v>
      </x:c>
      <x:c r="I667" s="54" t="str">
        <x:v>SIM-LAB-04</x:v>
      </x:c>
      <x:c r="J667" s="45" t="str">
        <x:v>人工模拟结果，无对应检测报告</x:v>
      </x:c>
    </x:row>
    <x:row r="668">
      <x:c r="A668" s="54" t="str">
        <x:v>SIM-S111</x:v>
      </x:c>
      <x:c r="B668" s="54" t="str">
        <x:v>Cu</x:v>
      </x:c>
      <x:c r="C668" s="45" t="str">
        <x:v>0.1244</x:v>
      </x:c>
      <x:c r="D668" s="45" t="n">
        <x:v>0.1244</x:v>
      </x:c>
      <x:c r="E668" s="54" t="str">
        <x:v>%</x:v>
      </x:c>
      <x:c r="F668" s="45" t="n">
        <x:v>0.001</x:v>
      </x:c>
      <x:c r="G668" s="45" t="str">
        <x:v>模拟检测法-Cu</x:v>
      </x:c>
      <x:c r="H668" s="63" t="n">
        <x:v>46301</x:v>
      </x:c>
      <x:c r="I668" s="54" t="str">
        <x:v>SIM-LAB-04</x:v>
      </x:c>
      <x:c r="J668" s="45" t="str">
        <x:v>人工模拟结果，无对应检测报告</x:v>
      </x:c>
    </x:row>
    <x:row r="669">
      <x:c r="A669" s="54" t="str">
        <x:v>SIM-S111</x:v>
      </x:c>
      <x:c r="B669" s="54" t="str">
        <x:v>Pb</x:v>
      </x:c>
      <x:c r="C669" s="45" t="str">
        <x:v>0.4951</x:v>
      </x:c>
      <x:c r="D669" s="45" t="n">
        <x:v>0.4951</x:v>
      </x:c>
      <x:c r="E669" s="54" t="str">
        <x:v>%</x:v>
      </x:c>
      <x:c r="F669" s="45" t="n">
        <x:v>0.001</x:v>
      </x:c>
      <x:c r="G669" s="45" t="str">
        <x:v>模拟检测法-Pb</x:v>
      </x:c>
      <x:c r="H669" s="63" t="n">
        <x:v>46301</x:v>
      </x:c>
      <x:c r="I669" s="54" t="str">
        <x:v>SIM-LAB-04</x:v>
      </x:c>
      <x:c r="J669" s="45" t="str">
        <x:v>人工模拟结果，无对应检测报告</x:v>
      </x:c>
    </x:row>
    <x:row r="670">
      <x:c r="A670" s="54" t="str">
        <x:v>SIM-S111</x:v>
      </x:c>
      <x:c r="B670" s="54" t="str">
        <x:v>Zn</x:v>
      </x:c>
      <x:c r="C670" s="45" t="str">
        <x:v>1.0157</x:v>
      </x:c>
      <x:c r="D670" s="45" t="n">
        <x:v>1.0157</x:v>
      </x:c>
      <x:c r="E670" s="54" t="str">
        <x:v>%</x:v>
      </x:c>
      <x:c r="F670" s="45" t="n">
        <x:v>0.001</x:v>
      </x:c>
      <x:c r="G670" s="45" t="str">
        <x:v>模拟检测法-Zn</x:v>
      </x:c>
      <x:c r="H670" s="63" t="n">
        <x:v>46301</x:v>
      </x:c>
      <x:c r="I670" s="54" t="str">
        <x:v>SIM-LAB-04</x:v>
      </x:c>
      <x:c r="J670" s="45" t="str">
        <x:v>人工模拟结果，无对应检测报告</x:v>
      </x:c>
    </x:row>
    <x:row r="671">
      <x:c r="A671" s="54" t="str">
        <x:v>SIM-S111</x:v>
      </x:c>
      <x:c r="B671" s="54" t="str">
        <x:v>As</x:v>
      </x:c>
      <x:c r="C671" s="45" t="str">
        <x:v>45.7</x:v>
      </x:c>
      <x:c r="D671" s="45" t="n">
        <x:v>45.7</x:v>
      </x:c>
      <x:c r="E671" s="54" t="str">
        <x:v>mg/kg</x:v>
      </x:c>
      <x:c r="F671" s="45" t="n">
        <x:v>1</x:v>
      </x:c>
      <x:c r="G671" s="45" t="str">
        <x:v>模拟检测法-As</x:v>
      </x:c>
      <x:c r="H671" s="63" t="n">
        <x:v>46301</x:v>
      </x:c>
      <x:c r="I671" s="54" t="str">
        <x:v>SIM-LAB-04</x:v>
      </x:c>
      <x:c r="J671" s="45" t="str">
        <x:v>人工模拟结果，无对应检测报告</x:v>
      </x:c>
    </x:row>
    <x:row r="672">
      <x:c r="A672" s="54" t="str">
        <x:v>SIM-S112</x:v>
      </x:c>
      <x:c r="B672" s="54" t="str">
        <x:v>Au</x:v>
      </x:c>
      <x:c r="C672" s="45" t="str">
        <x:v>0.518</x:v>
      </x:c>
      <x:c r="D672" s="45" t="n">
        <x:v>0.518</x:v>
      </x:c>
      <x:c r="E672" s="54" t="str">
        <x:v>mg/kg</x:v>
      </x:c>
      <x:c r="F672" s="45" t="n">
        <x:v>0.005</x:v>
      </x:c>
      <x:c r="G672" s="45" t="str">
        <x:v>模拟检测法-Au</x:v>
      </x:c>
      <x:c r="H672" s="63" t="n">
        <x:v>46301</x:v>
      </x:c>
      <x:c r="I672" s="54" t="str">
        <x:v>SIM-LAB-04</x:v>
      </x:c>
      <x:c r="J672" s="45" t="str">
        <x:v>人工模拟结果，无对应检测报告</x:v>
      </x:c>
    </x:row>
    <x:row r="673">
      <x:c r="A673" s="54" t="str">
        <x:v>SIM-S112</x:v>
      </x:c>
      <x:c r="B673" s="54" t="str">
        <x:v>Ag</x:v>
      </x:c>
      <x:c r="C673" s="45" t="str">
        <x:v>4.9</x:v>
      </x:c>
      <x:c r="D673" s="45" t="n">
        <x:v>4.9</x:v>
      </x:c>
      <x:c r="E673" s="54" t="str">
        <x:v>mg/kg</x:v>
      </x:c>
      <x:c r="F673" s="45" t="n">
        <x:v>0.1</x:v>
      </x:c>
      <x:c r="G673" s="45" t="str">
        <x:v>模拟检测法-Ag</x:v>
      </x:c>
      <x:c r="H673" s="63" t="n">
        <x:v>46301</x:v>
      </x:c>
      <x:c r="I673" s="54" t="str">
        <x:v>SIM-LAB-04</x:v>
      </x:c>
      <x:c r="J673" s="45" t="str">
        <x:v>人工模拟结果，无对应检测报告</x:v>
      </x:c>
    </x:row>
    <x:row r="674">
      <x:c r="A674" s="54" t="str">
        <x:v>SIM-S112</x:v>
      </x:c>
      <x:c r="B674" s="54" t="str">
        <x:v>Cu</x:v>
      </x:c>
      <x:c r="C674" s="45" t="str">
        <x:v>0.0788</x:v>
      </x:c>
      <x:c r="D674" s="45" t="n">
        <x:v>0.0788</x:v>
      </x:c>
      <x:c r="E674" s="54" t="str">
        <x:v>%</x:v>
      </x:c>
      <x:c r="F674" s="45" t="n">
        <x:v>0.001</x:v>
      </x:c>
      <x:c r="G674" s="45" t="str">
        <x:v>模拟检测法-Cu</x:v>
      </x:c>
      <x:c r="H674" s="63" t="n">
        <x:v>46301</x:v>
      </x:c>
      <x:c r="I674" s="54" t="str">
        <x:v>SIM-LAB-04</x:v>
      </x:c>
      <x:c r="J674" s="45" t="str">
        <x:v>人工模拟结果，无对应检测报告</x:v>
      </x:c>
    </x:row>
    <x:row r="675">
      <x:c r="A675" s="54" t="str">
        <x:v>SIM-S112</x:v>
      </x:c>
      <x:c r="B675" s="54" t="str">
        <x:v>Pb</x:v>
      </x:c>
      <x:c r="C675" s="45" t="str">
        <x:v>0.2984</x:v>
      </x:c>
      <x:c r="D675" s="45" t="n">
        <x:v>0.2984</x:v>
      </x:c>
      <x:c r="E675" s="54" t="str">
        <x:v>%</x:v>
      </x:c>
      <x:c r="F675" s="45" t="n">
        <x:v>0.001</x:v>
      </x:c>
      <x:c r="G675" s="45" t="str">
        <x:v>模拟检测法-Pb</x:v>
      </x:c>
      <x:c r="H675" s="63" t="n">
        <x:v>46301</x:v>
      </x:c>
      <x:c r="I675" s="54" t="str">
        <x:v>SIM-LAB-04</x:v>
      </x:c>
      <x:c r="J675" s="45" t="str">
        <x:v>人工模拟结果，无对应检测报告</x:v>
      </x:c>
    </x:row>
    <x:row r="676">
      <x:c r="A676" s="54" t="str">
        <x:v>SIM-S112</x:v>
      </x:c>
      <x:c r="B676" s="54" t="str">
        <x:v>Zn</x:v>
      </x:c>
      <x:c r="C676" s="45" t="str">
        <x:v>0.6106</x:v>
      </x:c>
      <x:c r="D676" s="45" t="n">
        <x:v>0.6106</x:v>
      </x:c>
      <x:c r="E676" s="54" t="str">
        <x:v>%</x:v>
      </x:c>
      <x:c r="F676" s="45" t="n">
        <x:v>0.001</x:v>
      </x:c>
      <x:c r="G676" s="45" t="str">
        <x:v>模拟检测法-Zn</x:v>
      </x:c>
      <x:c r="H676" s="63" t="n">
        <x:v>46301</x:v>
      </x:c>
      <x:c r="I676" s="54" t="str">
        <x:v>SIM-LAB-04</x:v>
      </x:c>
      <x:c r="J676" s="45" t="str">
        <x:v>人工模拟结果，无对应检测报告</x:v>
      </x:c>
    </x:row>
    <x:row r="677">
      <x:c r="A677" s="54" t="str">
        <x:v>SIM-S112</x:v>
      </x:c>
      <x:c r="B677" s="54" t="str">
        <x:v>As</x:v>
      </x:c>
      <x:c r="C677" s="45" t="str">
        <x:v>28.8</x:v>
      </x:c>
      <x:c r="D677" s="45" t="n">
        <x:v>28.8</x:v>
      </x:c>
      <x:c r="E677" s="54" t="str">
        <x:v>mg/kg</x:v>
      </x:c>
      <x:c r="F677" s="45" t="n">
        <x:v>1</x:v>
      </x:c>
      <x:c r="G677" s="45" t="str">
        <x:v>模拟检测法-As</x:v>
      </x:c>
      <x:c r="H677" s="63" t="n">
        <x:v>46301</x:v>
      </x:c>
      <x:c r="I677" s="54" t="str">
        <x:v>SIM-LAB-04</x:v>
      </x:c>
      <x:c r="J677" s="45" t="str">
        <x:v>人工模拟结果，无对应检测报告</x:v>
      </x:c>
    </x:row>
    <x:row r="678">
      <x:c r="A678" s="54" t="str">
        <x:v>SIM-S113</x:v>
      </x:c>
      <x:c r="B678" s="54" t="str">
        <x:v>Au</x:v>
      </x:c>
      <x:c r="C678" s="45" t="str">
        <x:v>0.288</x:v>
      </x:c>
      <x:c r="D678" s="45" t="n">
        <x:v>0.288</x:v>
      </x:c>
      <x:c r="E678" s="54" t="str">
        <x:v>mg/kg</x:v>
      </x:c>
      <x:c r="F678" s="45" t="n">
        <x:v>0.005</x:v>
      </x:c>
      <x:c r="G678" s="45" t="str">
        <x:v>模拟检测法-Au</x:v>
      </x:c>
      <x:c r="H678" s="63" t="n">
        <x:v>46301</x:v>
      </x:c>
      <x:c r="I678" s="54" t="str">
        <x:v>SIM-LAB-04</x:v>
      </x:c>
      <x:c r="J678" s="45" t="str">
        <x:v>人工模拟结果，无对应检测报告</x:v>
      </x:c>
    </x:row>
    <x:row r="679">
      <x:c r="A679" s="54" t="str">
        <x:v>SIM-S113</x:v>
      </x:c>
      <x:c r="B679" s="54" t="str">
        <x:v>Ag</x:v>
      </x:c>
      <x:c r="C679" s="45" t="str">
        <x:v>3.32</x:v>
      </x:c>
      <x:c r="D679" s="45" t="n">
        <x:v>3.32</x:v>
      </x:c>
      <x:c r="E679" s="54" t="str">
        <x:v>mg/kg</x:v>
      </x:c>
      <x:c r="F679" s="45" t="n">
        <x:v>0.1</x:v>
      </x:c>
      <x:c r="G679" s="45" t="str">
        <x:v>模拟检测法-Ag</x:v>
      </x:c>
      <x:c r="H679" s="63" t="n">
        <x:v>46301</x:v>
      </x:c>
      <x:c r="I679" s="54" t="str">
        <x:v>SIM-LAB-04</x:v>
      </x:c>
      <x:c r="J679" s="45" t="str">
        <x:v>人工模拟结果，无对应检测报告</x:v>
      </x:c>
    </x:row>
    <x:row r="680">
      <x:c r="A680" s="54" t="str">
        <x:v>SIM-S113</x:v>
      </x:c>
      <x:c r="B680" s="54" t="str">
        <x:v>Cu</x:v>
      </x:c>
      <x:c r="C680" s="45" t="str">
        <x:v>0.0487</x:v>
      </x:c>
      <x:c r="D680" s="45" t="n">
        <x:v>0.0487</x:v>
      </x:c>
      <x:c r="E680" s="54" t="str">
        <x:v>%</x:v>
      </x:c>
      <x:c r="F680" s="45" t="n">
        <x:v>0.001</x:v>
      </x:c>
      <x:c r="G680" s="45" t="str">
        <x:v>模拟检测法-Cu</x:v>
      </x:c>
      <x:c r="H680" s="63" t="n">
        <x:v>46301</x:v>
      </x:c>
      <x:c r="I680" s="54" t="str">
        <x:v>SIM-LAB-04</x:v>
      </x:c>
      <x:c r="J680" s="45" t="str">
        <x:v>人工模拟结果，无对应检测报告</x:v>
      </x:c>
    </x:row>
    <x:row r="681">
      <x:c r="A681" s="54" t="str">
        <x:v>SIM-S113</x:v>
      </x:c>
      <x:c r="B681" s="54" t="str">
        <x:v>Pb</x:v>
      </x:c>
      <x:c r="C681" s="45" t="str">
        <x:v>0.1682</x:v>
      </x:c>
      <x:c r="D681" s="45" t="n">
        <x:v>0.1682</x:v>
      </x:c>
      <x:c r="E681" s="54" t="str">
        <x:v>%</x:v>
      </x:c>
      <x:c r="F681" s="45" t="n">
        <x:v>0.001</x:v>
      </x:c>
      <x:c r="G681" s="45" t="str">
        <x:v>模拟检测法-Pb</x:v>
      </x:c>
      <x:c r="H681" s="63" t="n">
        <x:v>46301</x:v>
      </x:c>
      <x:c r="I681" s="54" t="str">
        <x:v>SIM-LAB-04</x:v>
      </x:c>
      <x:c r="J681" s="45" t="str">
        <x:v>人工模拟结果，无对应检测报告</x:v>
      </x:c>
    </x:row>
    <x:row r="682">
      <x:c r="A682" s="54" t="str">
        <x:v>SIM-S113</x:v>
      </x:c>
      <x:c r="B682" s="54" t="str">
        <x:v>Zn</x:v>
      </x:c>
      <x:c r="C682" s="45" t="str">
        <x:v>0.3418</x:v>
      </x:c>
      <x:c r="D682" s="45" t="n">
        <x:v>0.3418</x:v>
      </x:c>
      <x:c r="E682" s="54" t="str">
        <x:v>%</x:v>
      </x:c>
      <x:c r="F682" s="45" t="n">
        <x:v>0.001</x:v>
      </x:c>
      <x:c r="G682" s="45" t="str">
        <x:v>模拟检测法-Zn</x:v>
      </x:c>
      <x:c r="H682" s="63" t="n">
        <x:v>46301</x:v>
      </x:c>
      <x:c r="I682" s="54" t="str">
        <x:v>SIM-LAB-04</x:v>
      </x:c>
      <x:c r="J682" s="45" t="str">
        <x:v>人工模拟结果，无对应检测报告</x:v>
      </x:c>
    </x:row>
    <x:row r="683">
      <x:c r="A683" s="54" t="str">
        <x:v>SIM-S113</x:v>
      </x:c>
      <x:c r="B683" s="54" t="str">
        <x:v>As</x:v>
      </x:c>
      <x:c r="C683" s="45" t="str">
        <x:v>17.4</x:v>
      </x:c>
      <x:c r="D683" s="45" t="n">
        <x:v>17.4</x:v>
      </x:c>
      <x:c r="E683" s="54" t="str">
        <x:v>mg/kg</x:v>
      </x:c>
      <x:c r="F683" s="45" t="n">
        <x:v>1</x:v>
      </x:c>
      <x:c r="G683" s="45" t="str">
        <x:v>模拟检测法-As</x:v>
      </x:c>
      <x:c r="H683" s="63" t="n">
        <x:v>46301</x:v>
      </x:c>
      <x:c r="I683" s="54" t="str">
        <x:v>SIM-LAB-04</x:v>
      </x:c>
      <x:c r="J683" s="45" t="str">
        <x:v>人工模拟结果，无对应检测报告</x:v>
      </x:c>
    </x:row>
    <x:row r="684">
      <x:c r="A684" s="54" t="str">
        <x:v>SIM-S114</x:v>
      </x:c>
      <x:c r="B684" s="54" t="str">
        <x:v>Au</x:v>
      </x:c>
      <x:c r="C684" s="45" t="str">
        <x:v>0.168</x:v>
      </x:c>
      <x:c r="D684" s="45" t="n">
        <x:v>0.168</x:v>
      </x:c>
      <x:c r="E684" s="54" t="str">
        <x:v>mg/kg</x:v>
      </x:c>
      <x:c r="F684" s="45" t="n">
        <x:v>0.005</x:v>
      </x:c>
      <x:c r="G684" s="45" t="str">
        <x:v>模拟检测法-Au</x:v>
      </x:c>
      <x:c r="H684" s="63" t="n">
        <x:v>46301</x:v>
      </x:c>
      <x:c r="I684" s="54" t="str">
        <x:v>SIM-LAB-04</x:v>
      </x:c>
      <x:c r="J684" s="45" t="str">
        <x:v>人工模拟结果，无对应检测报告</x:v>
      </x:c>
    </x:row>
    <x:row r="685">
      <x:c r="A685" s="54" t="str">
        <x:v>SIM-S114</x:v>
      </x:c>
      <x:c r="B685" s="54" t="str">
        <x:v>Ag</x:v>
      </x:c>
      <x:c r="C685" s="45" t="str">
        <x:v>2.38</x:v>
      </x:c>
      <x:c r="D685" s="45" t="n">
        <x:v>2.38</x:v>
      </x:c>
      <x:c r="E685" s="54" t="str">
        <x:v>mg/kg</x:v>
      </x:c>
      <x:c r="F685" s="45" t="n">
        <x:v>0.1</x:v>
      </x:c>
      <x:c r="G685" s="45" t="str">
        <x:v>模拟检测法-Ag</x:v>
      </x:c>
      <x:c r="H685" s="63" t="n">
        <x:v>46301</x:v>
      </x:c>
      <x:c r="I685" s="54" t="str">
        <x:v>SIM-LAB-04</x:v>
      </x:c>
      <x:c r="J685" s="45" t="str">
        <x:v>人工模拟结果，无对应检测报告</x:v>
      </x:c>
    </x:row>
    <x:row r="686">
      <x:c r="A686" s="54" t="str">
        <x:v>SIM-S114</x:v>
      </x:c>
      <x:c r="B686" s="54" t="str">
        <x:v>Cu</x:v>
      </x:c>
      <x:c r="C686" s="45" t="str">
        <x:v>0.031</x:v>
      </x:c>
      <x:c r="D686" s="45" t="n">
        <x:v>0.031</x:v>
      </x:c>
      <x:c r="E686" s="54" t="str">
        <x:v>%</x:v>
      </x:c>
      <x:c r="F686" s="45" t="n">
        <x:v>0.001</x:v>
      </x:c>
      <x:c r="G686" s="45" t="str">
        <x:v>模拟检测法-Cu</x:v>
      </x:c>
      <x:c r="H686" s="63" t="n">
        <x:v>46301</x:v>
      </x:c>
      <x:c r="I686" s="54" t="str">
        <x:v>SIM-LAB-04</x:v>
      </x:c>
      <x:c r="J686" s="45" t="str">
        <x:v>人工模拟结果，无对应检测报告</x:v>
      </x:c>
    </x:row>
    <x:row r="687">
      <x:c r="A687" s="54" t="str">
        <x:v>SIM-S114</x:v>
      </x:c>
      <x:c r="B687" s="54" t="str">
        <x:v>Pb</x:v>
      </x:c>
      <x:c r="C687" s="45" t="str">
        <x:v>0.092</x:v>
      </x:c>
      <x:c r="D687" s="45" t="n">
        <x:v>0.092</x:v>
      </x:c>
      <x:c r="E687" s="54" t="str">
        <x:v>%</x:v>
      </x:c>
      <x:c r="F687" s="45" t="n">
        <x:v>0.001</x:v>
      </x:c>
      <x:c r="G687" s="45" t="str">
        <x:v>模拟检测法-Pb</x:v>
      </x:c>
      <x:c r="H687" s="63" t="n">
        <x:v>46301</x:v>
      </x:c>
      <x:c r="I687" s="54" t="str">
        <x:v>SIM-LAB-04</x:v>
      </x:c>
      <x:c r="J687" s="45" t="str">
        <x:v>人工模拟结果，无对应检测报告</x:v>
      </x:c>
    </x:row>
    <x:row r="688">
      <x:c r="A688" s="54" t="str">
        <x:v>SIM-S114</x:v>
      </x:c>
      <x:c r="B688" s="54" t="str">
        <x:v>Zn</x:v>
      </x:c>
      <x:c r="C688" s="45" t="str">
        <x:v>0.1872</x:v>
      </x:c>
      <x:c r="D688" s="45" t="n">
        <x:v>0.1872</x:v>
      </x:c>
      <x:c r="E688" s="54" t="str">
        <x:v>%</x:v>
      </x:c>
      <x:c r="F688" s="45" t="n">
        <x:v>0.001</x:v>
      </x:c>
      <x:c r="G688" s="45" t="str">
        <x:v>模拟检测法-Zn</x:v>
      </x:c>
      <x:c r="H688" s="63" t="n">
        <x:v>46301</x:v>
      </x:c>
      <x:c r="I688" s="54" t="str">
        <x:v>SIM-LAB-04</x:v>
      </x:c>
      <x:c r="J688" s="45" t="str">
        <x:v>人工模拟结果，无对应检测报告</x:v>
      </x:c>
    </x:row>
    <x:row r="689">
      <x:c r="A689" s="54" t="str">
        <x:v>SIM-S114</x:v>
      </x:c>
      <x:c r="B689" s="54" t="str">
        <x:v>As</x:v>
      </x:c>
      <x:c r="C689" s="45" t="str">
        <x:v>10.5</x:v>
      </x:c>
      <x:c r="D689" s="45" t="n">
        <x:v>10.5</x:v>
      </x:c>
      <x:c r="E689" s="54" t="str">
        <x:v>mg/kg</x:v>
      </x:c>
      <x:c r="F689" s="45" t="n">
        <x:v>1</x:v>
      </x:c>
      <x:c r="G689" s="45" t="str">
        <x:v>模拟检测法-As</x:v>
      </x:c>
      <x:c r="H689" s="63" t="n">
        <x:v>46301</x:v>
      </x:c>
      <x:c r="I689" s="54" t="str">
        <x:v>SIM-LAB-04</x:v>
      </x:c>
      <x:c r="J689" s="45" t="str">
        <x:v>人工模拟结果，无对应检测报告</x:v>
      </x:c>
    </x:row>
    <x:row r="690">
      <x:c r="A690" s="54" t="str">
        <x:v>SIM-S115</x:v>
      </x:c>
      <x:c r="B690" s="54" t="str">
        <x:v>Au</x:v>
      </x:c>
      <x:c r="C690" s="45" t="str">
        <x:v>0.113</x:v>
      </x:c>
      <x:c r="D690" s="45" t="n">
        <x:v>0.113</x:v>
      </x:c>
      <x:c r="E690" s="54" t="str">
        <x:v>mg/kg</x:v>
      </x:c>
      <x:c r="F690" s="45" t="n">
        <x:v>0.005</x:v>
      </x:c>
      <x:c r="G690" s="45" t="str">
        <x:v>模拟检测法-Au</x:v>
      </x:c>
      <x:c r="H690" s="63" t="n">
        <x:v>46301</x:v>
      </x:c>
      <x:c r="I690" s="54" t="str">
        <x:v>SIM-LAB-04</x:v>
      </x:c>
      <x:c r="J690" s="45" t="str">
        <x:v>人工模拟结果，无对应检测报告</x:v>
      </x:c>
    </x:row>
    <x:row r="691">
      <x:c r="A691" s="54" t="str">
        <x:v>SIM-S115</x:v>
      </x:c>
      <x:c r="B691" s="54" t="str">
        <x:v>Ag</x:v>
      </x:c>
      <x:c r="C691" s="45" t="str">
        <x:v>1.62</x:v>
      </x:c>
      <x:c r="D691" s="45" t="n">
        <x:v>1.62</x:v>
      </x:c>
      <x:c r="E691" s="54" t="str">
        <x:v>mg/kg</x:v>
      </x:c>
      <x:c r="F691" s="45" t="n">
        <x:v>0.1</x:v>
      </x:c>
      <x:c r="G691" s="45" t="str">
        <x:v>模拟检测法-Ag</x:v>
      </x:c>
      <x:c r="H691" s="63" t="n">
        <x:v>46301</x:v>
      </x:c>
      <x:c r="I691" s="54" t="str">
        <x:v>SIM-LAB-04</x:v>
      </x:c>
      <x:c r="J691" s="45" t="str">
        <x:v>人工模拟结果，无对应检测报告</x:v>
      </x:c>
    </x:row>
    <x:row r="692">
      <x:c r="A692" s="54" t="str">
        <x:v>SIM-S115</x:v>
      </x:c>
      <x:c r="B692" s="54" t="str">
        <x:v>Cu</x:v>
      </x:c>
      <x:c r="C692" s="45" t="str">
        <x:v>0.0215</x:v>
      </x:c>
      <x:c r="D692" s="45" t="n">
        <x:v>0.0215</x:v>
      </x:c>
      <x:c r="E692" s="54" t="str">
        <x:v>%</x:v>
      </x:c>
      <x:c r="F692" s="45" t="n">
        <x:v>0.001</x:v>
      </x:c>
      <x:c r="G692" s="45" t="str">
        <x:v>模拟检测法-Cu</x:v>
      </x:c>
      <x:c r="H692" s="63" t="n">
        <x:v>46301</x:v>
      </x:c>
      <x:c r="I692" s="54" t="str">
        <x:v>SIM-LAB-04</x:v>
      </x:c>
      <x:c r="J692" s="45" t="str">
        <x:v>人工模拟结果，无对应检测报告</x:v>
      </x:c>
    </x:row>
    <x:row r="693">
      <x:c r="A693" s="54" t="str">
        <x:v>SIM-S115</x:v>
      </x:c>
      <x:c r="B693" s="54" t="str">
        <x:v>Pb</x:v>
      </x:c>
      <x:c r="C693" s="45" t="str">
        <x:v>0.0528</x:v>
      </x:c>
      <x:c r="D693" s="45" t="n">
        <x:v>0.0528</x:v>
      </x:c>
      <x:c r="E693" s="54" t="str">
        <x:v>%</x:v>
      </x:c>
      <x:c r="F693" s="45" t="n">
        <x:v>0.001</x:v>
      </x:c>
      <x:c r="G693" s="45" t="str">
        <x:v>模拟检测法-Pb</x:v>
      </x:c>
      <x:c r="H693" s="63" t="n">
        <x:v>46301</x:v>
      </x:c>
      <x:c r="I693" s="54" t="str">
        <x:v>SIM-LAB-04</x:v>
      </x:c>
      <x:c r="J693" s="45" t="str">
        <x:v>人工模拟结果，无对应检测报告</x:v>
      </x:c>
    </x:row>
    <x:row r="694">
      <x:c r="A694" s="54" t="str">
        <x:v>SIM-S115</x:v>
      </x:c>
      <x:c r="B694" s="54" t="str">
        <x:v>Zn</x:v>
      </x:c>
      <x:c r="C694" s="45" t="str">
        <x:v>0.1124</x:v>
      </x:c>
      <x:c r="D694" s="45" t="n">
        <x:v>0.1124</x:v>
      </x:c>
      <x:c r="E694" s="54" t="str">
        <x:v>%</x:v>
      </x:c>
      <x:c r="F694" s="45" t="n">
        <x:v>0.001</x:v>
      </x:c>
      <x:c r="G694" s="45" t="str">
        <x:v>模拟检测法-Zn</x:v>
      </x:c>
      <x:c r="H694" s="63" t="n">
        <x:v>46301</x:v>
      </x:c>
      <x:c r="I694" s="54" t="str">
        <x:v>SIM-LAB-04</x:v>
      </x:c>
      <x:c r="J694" s="45" t="str">
        <x:v>人工模拟结果，无对应检测报告</x:v>
      </x:c>
    </x:row>
    <x:row r="695">
      <x:c r="A695" s="54" t="str">
        <x:v>SIM-S115</x:v>
      </x:c>
      <x:c r="B695" s="54" t="str">
        <x:v>As</x:v>
      </x:c>
      <x:c r="C695" s="45" t="str">
        <x:v>6.8</x:v>
      </x:c>
      <x:c r="D695" s="45" t="n">
        <x:v>6.8</x:v>
      </x:c>
      <x:c r="E695" s="54" t="str">
        <x:v>mg/kg</x:v>
      </x:c>
      <x:c r="F695" s="45" t="n">
        <x:v>1</x:v>
      </x:c>
      <x:c r="G695" s="45" t="str">
        <x:v>模拟检测法-As</x:v>
      </x:c>
      <x:c r="H695" s="63" t="n">
        <x:v>46301</x:v>
      </x:c>
      <x:c r="I695" s="54" t="str">
        <x:v>SIM-LAB-04</x:v>
      </x:c>
      <x:c r="J695" s="45" t="str">
        <x:v>人工模拟结果，无对应检测报告</x:v>
      </x:c>
    </x:row>
    <x:row r="696">
      <x:c r="A696" s="54" t="str">
        <x:v>SIM-S116</x:v>
      </x:c>
      <x:c r="B696" s="54" t="str">
        <x:v>Au</x:v>
      </x:c>
      <x:c r="C696" s="45" t="str">
        <x:v>&lt;0.005</x:v>
      </x:c>
      <x:c r="D696" s="45"/>
      <x:c r="E696" s="54" t="str">
        <x:v>mg/kg</x:v>
      </x:c>
      <x:c r="F696" s="45" t="n">
        <x:v>0.005</x:v>
      </x:c>
      <x:c r="G696" s="45" t="str">
        <x:v>模拟检测法-Au</x:v>
      </x:c>
      <x:c r="H696" s="63" t="n">
        <x:v>46301</x:v>
      </x:c>
      <x:c r="I696" s="54" t="str">
        <x:v>SIM-LAB-04</x:v>
      </x:c>
      <x:c r="J696" s="45" t="str">
        <x:v>人工模拟结果，无对应检测报告</x:v>
      </x:c>
    </x:row>
    <x:row r="697">
      <x:c r="A697" s="54" t="str">
        <x:v>SIM-S116</x:v>
      </x:c>
      <x:c r="B697" s="54" t="str">
        <x:v>Ag</x:v>
      </x:c>
      <x:c r="C697" s="45" t="str">
        <x:v>0.96</x:v>
      </x:c>
      <x:c r="D697" s="45" t="n">
        <x:v>0.96</x:v>
      </x:c>
      <x:c r="E697" s="54" t="str">
        <x:v>mg/kg</x:v>
      </x:c>
      <x:c r="F697" s="45" t="n">
        <x:v>0.1</x:v>
      </x:c>
      <x:c r="G697" s="45" t="str">
        <x:v>模拟检测法-Ag</x:v>
      </x:c>
      <x:c r="H697" s="63" t="n">
        <x:v>46301</x:v>
      </x:c>
      <x:c r="I697" s="54" t="str">
        <x:v>SIM-LAB-04</x:v>
      </x:c>
      <x:c r="J697" s="45" t="str">
        <x:v>人工模拟结果，无对应检测报告</x:v>
      </x:c>
    </x:row>
    <x:row r="698">
      <x:c r="A698" s="54" t="str">
        <x:v>SIM-S116</x:v>
      </x:c>
      <x:c r="B698" s="54" t="str">
        <x:v>Cu</x:v>
      </x:c>
      <x:c r="C698" s="45" t="str">
        <x:v>0.0167</x:v>
      </x:c>
      <x:c r="D698" s="45" t="n">
        <x:v>0.0167</x:v>
      </x:c>
      <x:c r="E698" s="54" t="str">
        <x:v>%</x:v>
      </x:c>
      <x:c r="F698" s="45" t="n">
        <x:v>0.001</x:v>
      </x:c>
      <x:c r="G698" s="45" t="str">
        <x:v>模拟检测法-Cu</x:v>
      </x:c>
      <x:c r="H698" s="63" t="n">
        <x:v>46301</x:v>
      </x:c>
      <x:c r="I698" s="54" t="str">
        <x:v>SIM-LAB-04</x:v>
      </x:c>
      <x:c r="J698" s="45" t="str">
        <x:v>人工模拟结果，无对应检测报告</x:v>
      </x:c>
    </x:row>
    <x:row r="699">
      <x:c r="A699" s="54" t="str">
        <x:v>SIM-S116</x:v>
      </x:c>
      <x:c r="B699" s="54" t="str">
        <x:v>Pb</x:v>
      </x:c>
      <x:c r="C699" s="45" t="str">
        <x:v>0.0353</x:v>
      </x:c>
      <x:c r="D699" s="45" t="n">
        <x:v>0.0353</x:v>
      </x:c>
      <x:c r="E699" s="54" t="str">
        <x:v>%</x:v>
      </x:c>
      <x:c r="F699" s="45" t="n">
        <x:v>0.001</x:v>
      </x:c>
      <x:c r="G699" s="45" t="str">
        <x:v>模拟检测法-Pb</x:v>
      </x:c>
      <x:c r="H699" s="63" t="n">
        <x:v>46301</x:v>
      </x:c>
      <x:c r="I699" s="54" t="str">
        <x:v>SIM-LAB-04</x:v>
      </x:c>
      <x:c r="J699" s="45" t="str">
        <x:v>人工模拟结果，无对应检测报告</x:v>
      </x:c>
    </x:row>
    <x:row r="700">
      <x:c r="A700" s="54" t="str">
        <x:v>SIM-S116</x:v>
      </x:c>
      <x:c r="B700" s="54" t="str">
        <x:v>Zn</x:v>
      </x:c>
      <x:c r="C700" s="45" t="str">
        <x:v>0.085</x:v>
      </x:c>
      <x:c r="D700" s="45" t="n">
        <x:v>0.085</x:v>
      </x:c>
      <x:c r="E700" s="54" t="str">
        <x:v>%</x:v>
      </x:c>
      <x:c r="F700" s="45" t="n">
        <x:v>0.001</x:v>
      </x:c>
      <x:c r="G700" s="45" t="str">
        <x:v>模拟检测法-Zn</x:v>
      </x:c>
      <x:c r="H700" s="63" t="n">
        <x:v>46301</x:v>
      </x:c>
      <x:c r="I700" s="54" t="str">
        <x:v>SIM-LAB-04</x:v>
      </x:c>
      <x:c r="J700" s="45" t="str">
        <x:v>人工模拟结果，无对应检测报告</x:v>
      </x:c>
    </x:row>
    <x:row r="701">
      <x:c r="A701" s="54" t="str">
        <x:v>SIM-S116</x:v>
      </x:c>
      <x:c r="B701" s="54" t="str">
        <x:v>As</x:v>
      </x:c>
      <x:c r="C701" s="45" t="str">
        <x:v>5.0</x:v>
      </x:c>
      <x:c r="D701" s="45" t="n">
        <x:v>5</x:v>
      </x:c>
      <x:c r="E701" s="54" t="str">
        <x:v>mg/kg</x:v>
      </x:c>
      <x:c r="F701" s="45" t="n">
        <x:v>1</x:v>
      </x:c>
      <x:c r="G701" s="45" t="str">
        <x:v>模拟检测法-As</x:v>
      </x:c>
      <x:c r="H701" s="63" t="n">
        <x:v>46301</x:v>
      </x:c>
      <x:c r="I701" s="54" t="str">
        <x:v>SIM-LAB-04</x:v>
      </x:c>
      <x:c r="J701" s="45" t="str">
        <x:v>人工模拟结果，无对应检测报告</x:v>
      </x:c>
    </x:row>
    <x:row r="702">
      <x:c r="A702" s="54" t="str">
        <x:v>SIM-S117</x:v>
      </x:c>
      <x:c r="B702" s="54" t="str">
        <x:v>Au</x:v>
      </x:c>
      <x:c r="C702" s="45" t="str">
        <x:v>0.055</x:v>
      </x:c>
      <x:c r="D702" s="45" t="n">
        <x:v>0.055</x:v>
      </x:c>
      <x:c r="E702" s="54" t="str">
        <x:v>mg/kg</x:v>
      </x:c>
      <x:c r="F702" s="45" t="n">
        <x:v>0.005</x:v>
      </x:c>
      <x:c r="G702" s="45" t="str">
        <x:v>模拟检测法-Au</x:v>
      </x:c>
      <x:c r="H702" s="63" t="n">
        <x:v>46301</x:v>
      </x:c>
      <x:c r="I702" s="54" t="str">
        <x:v>SIM-LAB-04</x:v>
      </x:c>
      <x:c r="J702" s="45" t="str">
        <x:v>人工模拟结果，无对应检测报告</x:v>
      </x:c>
    </x:row>
    <x:row r="703">
      <x:c r="A703" s="54" t="str">
        <x:v>SIM-S117</x:v>
      </x:c>
      <x:c r="B703" s="54" t="str">
        <x:v>Ag</x:v>
      </x:c>
      <x:c r="C703" s="45" t="str">
        <x:v>0.58</x:v>
      </x:c>
      <x:c r="D703" s="45" t="n">
        <x:v>0.58</x:v>
      </x:c>
      <x:c r="E703" s="54" t="str">
        <x:v>mg/kg</x:v>
      </x:c>
      <x:c r="F703" s="45" t="n">
        <x:v>0.1</x:v>
      </x:c>
      <x:c r="G703" s="45" t="str">
        <x:v>模拟检测法-Ag</x:v>
      </x:c>
      <x:c r="H703" s="63" t="n">
        <x:v>46301</x:v>
      </x:c>
      <x:c r="I703" s="54" t="str">
        <x:v>SIM-LAB-04</x:v>
      </x:c>
      <x:c r="J703" s="45" t="str">
        <x:v>人工模拟结果，无对应检测报告</x:v>
      </x:c>
    </x:row>
    <x:row r="704">
      <x:c r="A704" s="54" t="str">
        <x:v>SIM-S117</x:v>
      </x:c>
      <x:c r="B704" s="54" t="str">
        <x:v>Cu</x:v>
      </x:c>
      <x:c r="C704" s="45" t="str">
        <x:v>0.0141</x:v>
      </x:c>
      <x:c r="D704" s="45" t="n">
        <x:v>0.0141</x:v>
      </x:c>
      <x:c r="E704" s="54" t="str">
        <x:v>%</x:v>
      </x:c>
      <x:c r="F704" s="45" t="n">
        <x:v>0.001</x:v>
      </x:c>
      <x:c r="G704" s="45" t="str">
        <x:v>模拟检测法-Cu</x:v>
      </x:c>
      <x:c r="H704" s="63" t="n">
        <x:v>46301</x:v>
      </x:c>
      <x:c r="I704" s="54" t="str">
        <x:v>SIM-LAB-04</x:v>
      </x:c>
      <x:c r="J704" s="45" t="str">
        <x:v>人工模拟结果，无对应检测报告</x:v>
      </x:c>
    </x:row>
    <x:row r="705">
      <x:c r="A705" s="54" t="str">
        <x:v>SIM-S117</x:v>
      </x:c>
      <x:c r="B705" s="54" t="str">
        <x:v>Pb</x:v>
      </x:c>
      <x:c r="C705" s="45" t="str">
        <x:v>0.029</x:v>
      </x:c>
      <x:c r="D705" s="45" t="n">
        <x:v>0.029</x:v>
      </x:c>
      <x:c r="E705" s="54" t="str">
        <x:v>%</x:v>
      </x:c>
      <x:c r="F705" s="45" t="n">
        <x:v>0.001</x:v>
      </x:c>
      <x:c r="G705" s="45" t="str">
        <x:v>模拟检测法-Pb</x:v>
      </x:c>
      <x:c r="H705" s="63" t="n">
        <x:v>46301</x:v>
      </x:c>
      <x:c r="I705" s="54" t="str">
        <x:v>SIM-LAB-04</x:v>
      </x:c>
      <x:c r="J705" s="45" t="str">
        <x:v>人工模拟结果，无对应检测报告</x:v>
      </x:c>
    </x:row>
    <x:row r="706">
      <x:c r="A706" s="54" t="str">
        <x:v>SIM-S117</x:v>
      </x:c>
      <x:c r="B706" s="54" t="str">
        <x:v>Zn</x:v>
      </x:c>
      <x:c r="C706" s="45" t="str">
        <x:v>0.0805</x:v>
      </x:c>
      <x:c r="D706" s="45" t="n">
        <x:v>0.0805</x:v>
      </x:c>
      <x:c r="E706" s="54" t="str">
        <x:v>%</x:v>
      </x:c>
      <x:c r="F706" s="45" t="n">
        <x:v>0.001</x:v>
      </x:c>
      <x:c r="G706" s="45" t="str">
        <x:v>模拟检测法-Zn</x:v>
      </x:c>
      <x:c r="H706" s="63" t="n">
        <x:v>46301</x:v>
      </x:c>
      <x:c r="I706" s="54" t="str">
        <x:v>SIM-LAB-04</x:v>
      </x:c>
      <x:c r="J706" s="45" t="str">
        <x:v>人工模拟结果，无对应检测报告</x:v>
      </x:c>
    </x:row>
    <x:row r="707">
      <x:c r="A707" s="54" t="str">
        <x:v>SIM-S117</x:v>
      </x:c>
      <x:c r="B707" s="54" t="str">
        <x:v>As</x:v>
      </x:c>
      <x:c r="C707" s="45" t="str">
        <x:v>4.5</x:v>
      </x:c>
      <x:c r="D707" s="45" t="n">
        <x:v>4.5</x:v>
      </x:c>
      <x:c r="E707" s="54" t="str">
        <x:v>mg/kg</x:v>
      </x:c>
      <x:c r="F707" s="45" t="n">
        <x:v>1</x:v>
      </x:c>
      <x:c r="G707" s="45" t="str">
        <x:v>模拟检测法-As</x:v>
      </x:c>
      <x:c r="H707" s="63" t="n">
        <x:v>46301</x:v>
      </x:c>
      <x:c r="I707" s="54" t="str">
        <x:v>SIM-LAB-04</x:v>
      </x:c>
      <x:c r="J707" s="45" t="str">
        <x:v>人工模拟结果，无对应检测报告</x:v>
      </x:c>
    </x:row>
    <x:row r="708">
      <x:c r="A708" s="54" t="str">
        <x:v>SIM-S118</x:v>
      </x:c>
      <x:c r="B708" s="54" t="str">
        <x:v>Au</x:v>
      </x:c>
      <x:c r="C708" s="45" t="str">
        <x:v>0.033</x:v>
      </x:c>
      <x:c r="D708" s="45" t="n">
        <x:v>0.033</x:v>
      </x:c>
      <x:c r="E708" s="54" t="str">
        <x:v>mg/kg</x:v>
      </x:c>
      <x:c r="F708" s="45" t="n">
        <x:v>0.005</x:v>
      </x:c>
      <x:c r="G708" s="45" t="str">
        <x:v>模拟检测法-Au</x:v>
      </x:c>
      <x:c r="H708" s="63" t="n">
        <x:v>46301</x:v>
      </x:c>
      <x:c r="I708" s="54" t="str">
        <x:v>SIM-LAB-04</x:v>
      </x:c>
      <x:c r="J708" s="45" t="str">
        <x:v>人工模拟结果，无对应检测报告</x:v>
      </x:c>
    </x:row>
    <x:row r="709">
      <x:c r="A709" s="54" t="str">
        <x:v>SIM-S118</x:v>
      </x:c>
      <x:c r="B709" s="54" t="str">
        <x:v>Ag</x:v>
      </x:c>
      <x:c r="C709" s="45" t="str">
        <x:v>0.63</x:v>
      </x:c>
      <x:c r="D709" s="45" t="n">
        <x:v>0.63</x:v>
      </x:c>
      <x:c r="E709" s="54" t="str">
        <x:v>mg/kg</x:v>
      </x:c>
      <x:c r="F709" s="45" t="n">
        <x:v>0.1</x:v>
      </x:c>
      <x:c r="G709" s="45" t="str">
        <x:v>模拟检测法-Ag</x:v>
      </x:c>
      <x:c r="H709" s="63" t="n">
        <x:v>46301</x:v>
      </x:c>
      <x:c r="I709" s="54" t="str">
        <x:v>SIM-LAB-04</x:v>
      </x:c>
      <x:c r="J709" s="45" t="str">
        <x:v>人工模拟结果，无对应检测报告</x:v>
      </x:c>
    </x:row>
    <x:row r="710">
      <x:c r="A710" s="54" t="str">
        <x:v>SIM-S118</x:v>
      </x:c>
      <x:c r="B710" s="54" t="str">
        <x:v>Cu</x:v>
      </x:c>
      <x:c r="C710" s="45" t="str">
        <x:v>0.0123</x:v>
      </x:c>
      <x:c r="D710" s="45" t="n">
        <x:v>0.0123</x:v>
      </x:c>
      <x:c r="E710" s="54" t="str">
        <x:v>%</x:v>
      </x:c>
      <x:c r="F710" s="45" t="n">
        <x:v>0.001</x:v>
      </x:c>
      <x:c r="G710" s="45" t="str">
        <x:v>模拟检测法-Cu</x:v>
      </x:c>
      <x:c r="H710" s="63" t="n">
        <x:v>46301</x:v>
      </x:c>
      <x:c r="I710" s="54" t="str">
        <x:v>SIM-LAB-04</x:v>
      </x:c>
      <x:c r="J710" s="45" t="str">
        <x:v>人工模拟结果，无对应检测报告</x:v>
      </x:c>
    </x:row>
    <x:row r="711">
      <x:c r="A711" s="54" t="str">
        <x:v>SIM-S118</x:v>
      </x:c>
      <x:c r="B711" s="54" t="str">
        <x:v>Pb</x:v>
      </x:c>
      <x:c r="C711" s="45" t="str">
        <x:v>0.0279</x:v>
      </x:c>
      <x:c r="D711" s="45" t="n">
        <x:v>0.0279</x:v>
      </x:c>
      <x:c r="E711" s="54" t="str">
        <x:v>%</x:v>
      </x:c>
      <x:c r="F711" s="45" t="n">
        <x:v>0.001</x:v>
      </x:c>
      <x:c r="G711" s="45" t="str">
        <x:v>模拟检测法-Pb</x:v>
      </x:c>
      <x:c r="H711" s="63" t="n">
        <x:v>46301</x:v>
      </x:c>
      <x:c r="I711" s="54" t="str">
        <x:v>SIM-LAB-04</x:v>
      </x:c>
      <x:c r="J711" s="45" t="str">
        <x:v>人工模拟结果，无对应检测报告</x:v>
      </x:c>
    </x:row>
    <x:row r="712">
      <x:c r="A712" s="54" t="str">
        <x:v>SIM-S118</x:v>
      </x:c>
      <x:c r="B712" s="54" t="str">
        <x:v>Zn</x:v>
      </x:c>
      <x:c r="C712" s="45" t="str">
        <x:v>0.0827</x:v>
      </x:c>
      <x:c r="D712" s="45" t="n">
        <x:v>0.0827</x:v>
      </x:c>
      <x:c r="E712" s="54" t="str">
        <x:v>%</x:v>
      </x:c>
      <x:c r="F712" s="45" t="n">
        <x:v>0.001</x:v>
      </x:c>
      <x:c r="G712" s="45" t="str">
        <x:v>模拟检测法-Zn</x:v>
      </x:c>
      <x:c r="H712" s="63" t="n">
        <x:v>46301</x:v>
      </x:c>
      <x:c r="I712" s="54" t="str">
        <x:v>SIM-LAB-04</x:v>
      </x:c>
      <x:c r="J712" s="45" t="str">
        <x:v>人工模拟结果，无对应检测报告</x:v>
      </x:c>
    </x:row>
    <x:row r="713">
      <x:c r="A713" s="54" t="str">
        <x:v>SIM-S118</x:v>
      </x:c>
      <x:c r="B713" s="54" t="str">
        <x:v>As</x:v>
      </x:c>
      <x:c r="C713" s="45" t="str">
        <x:v>4.6</x:v>
      </x:c>
      <x:c r="D713" s="45" t="n">
        <x:v>4.6</x:v>
      </x:c>
      <x:c r="E713" s="54" t="str">
        <x:v>mg/kg</x:v>
      </x:c>
      <x:c r="F713" s="45" t="n">
        <x:v>1</x:v>
      </x:c>
      <x:c r="G713" s="45" t="str">
        <x:v>模拟检测法-As</x:v>
      </x:c>
      <x:c r="H713" s="63" t="n">
        <x:v>46301</x:v>
      </x:c>
      <x:c r="I713" s="54" t="str">
        <x:v>SIM-LAB-04</x:v>
      </x:c>
      <x:c r="J713" s="45" t="str">
        <x:v>人工模拟结果，无对应检测报告</x:v>
      </x:c>
    </x:row>
    <x:row r="714">
      <x:c r="A714" s="54" t="str">
        <x:v>SIM-S119</x:v>
      </x:c>
      <x:c r="B714" s="54" t="str">
        <x:v>Au</x:v>
      </x:c>
      <x:c r="C714" s="45" t="str">
        <x:v>0.026</x:v>
      </x:c>
      <x:c r="D714" s="45" t="n">
        <x:v>0.026</x:v>
      </x:c>
      <x:c r="E714" s="54" t="str">
        <x:v>mg/kg</x:v>
      </x:c>
      <x:c r="F714" s="45" t="n">
        <x:v>0.005</x:v>
      </x:c>
      <x:c r="G714" s="45" t="str">
        <x:v>模拟检测法-Au</x:v>
      </x:c>
      <x:c r="H714" s="63" t="n">
        <x:v>46301</x:v>
      </x:c>
      <x:c r="I714" s="54" t="str">
        <x:v>SIM-LAB-04</x:v>
      </x:c>
      <x:c r="J714" s="45" t="str">
        <x:v>人工模拟结果，无对应检测报告</x:v>
      </x:c>
    </x:row>
    <x:row r="715">
      <x:c r="A715" s="54" t="str">
        <x:v>SIM-S119</x:v>
      </x:c>
      <x:c r="B715" s="54" t="str">
        <x:v>Ag</x:v>
      </x:c>
      <x:c r="C715" s="45" t="str">
        <x:v>0.98</x:v>
      </x:c>
      <x:c r="D715" s="45" t="n">
        <x:v>0.98</x:v>
      </x:c>
      <x:c r="E715" s="54" t="str">
        <x:v>mg/kg</x:v>
      </x:c>
      <x:c r="F715" s="45" t="n">
        <x:v>0.1</x:v>
      </x:c>
      <x:c r="G715" s="45" t="str">
        <x:v>模拟检测法-Ag</x:v>
      </x:c>
      <x:c r="H715" s="63" t="n">
        <x:v>46301</x:v>
      </x:c>
      <x:c r="I715" s="54" t="str">
        <x:v>SIM-LAB-04</x:v>
      </x:c>
      <x:c r="J715" s="45" t="str">
        <x:v>人工模拟结果，无对应检测报告</x:v>
      </x:c>
    </x:row>
    <x:row r="716">
      <x:c r="A716" s="54" t="str">
        <x:v>SIM-S119</x:v>
      </x:c>
      <x:c r="B716" s="54" t="str">
        <x:v>Cu</x:v>
      </x:c>
      <x:c r="C716" s="45" t="str">
        <x:v>0.0109</x:v>
      </x:c>
      <x:c r="D716" s="45" t="n">
        <x:v>0.0109</x:v>
      </x:c>
      <x:c r="E716" s="54" t="str">
        <x:v>%</x:v>
      </x:c>
      <x:c r="F716" s="45" t="n">
        <x:v>0.001</x:v>
      </x:c>
      <x:c r="G716" s="45" t="str">
        <x:v>模拟检测法-Cu</x:v>
      </x:c>
      <x:c r="H716" s="63" t="n">
        <x:v>46301</x:v>
      </x:c>
      <x:c r="I716" s="54" t="str">
        <x:v>SIM-LAB-04</x:v>
      </x:c>
      <x:c r="J716" s="45" t="str">
        <x:v>人工模拟结果，无对应检测报告</x:v>
      </x:c>
    </x:row>
    <x:row r="717">
      <x:c r="A717" s="54" t="str">
        <x:v>SIM-S119</x:v>
      </x:c>
      <x:c r="B717" s="54" t="str">
        <x:v>Pb</x:v>
      </x:c>
      <x:c r="C717" s="45" t="str">
        <x:v>0.0288</x:v>
      </x:c>
      <x:c r="D717" s="45" t="n">
        <x:v>0.0288</x:v>
      </x:c>
      <x:c r="E717" s="54" t="str">
        <x:v>%</x:v>
      </x:c>
      <x:c r="F717" s="45" t="n">
        <x:v>0.001</x:v>
      </x:c>
      <x:c r="G717" s="45" t="str">
        <x:v>模拟检测法-Pb</x:v>
      </x:c>
      <x:c r="H717" s="63" t="n">
        <x:v>46301</x:v>
      </x:c>
      <x:c r="I717" s="54" t="str">
        <x:v>SIM-LAB-04</x:v>
      </x:c>
      <x:c r="J717" s="45" t="str">
        <x:v>人工模拟结果，无对应检测报告</x:v>
      </x:c>
    </x:row>
    <x:row r="718">
      <x:c r="A718" s="54" t="str">
        <x:v>SIM-S119</x:v>
      </x:c>
      <x:c r="B718" s="54" t="str">
        <x:v>Zn</x:v>
      </x:c>
      <x:c r="C718" s="45" t="str">
        <x:v>0.0828</x:v>
      </x:c>
      <x:c r="D718" s="45" t="n">
        <x:v>0.0828</x:v>
      </x:c>
      <x:c r="E718" s="54" t="str">
        <x:v>%</x:v>
      </x:c>
      <x:c r="F718" s="45" t="n">
        <x:v>0.001</x:v>
      </x:c>
      <x:c r="G718" s="45" t="str">
        <x:v>模拟检测法-Zn</x:v>
      </x:c>
      <x:c r="H718" s="63" t="n">
        <x:v>46301</x:v>
      </x:c>
      <x:c r="I718" s="54" t="str">
        <x:v>SIM-LAB-04</x:v>
      </x:c>
      <x:c r="J718" s="45" t="str">
        <x:v>人工模拟结果，无对应检测报告</x:v>
      </x:c>
    </x:row>
    <x:row r="719">
      <x:c r="A719" s="54" t="str">
        <x:v>SIM-S119</x:v>
      </x:c>
      <x:c r="B719" s="54" t="str">
        <x:v>As</x:v>
      </x:c>
      <x:c r="C719" s="45" t="str">
        <x:v>5.0</x:v>
      </x:c>
      <x:c r="D719" s="45" t="n">
        <x:v>5</x:v>
      </x:c>
      <x:c r="E719" s="54" t="str">
        <x:v>mg/kg</x:v>
      </x:c>
      <x:c r="F719" s="45" t="n">
        <x:v>1</x:v>
      </x:c>
      <x:c r="G719" s="45" t="str">
        <x:v>模拟检测法-As</x:v>
      </x:c>
      <x:c r="H719" s="63" t="n">
        <x:v>46301</x:v>
      </x:c>
      <x:c r="I719" s="54" t="str">
        <x:v>SIM-LAB-04</x:v>
      </x:c>
      <x:c r="J719" s="45" t="str">
        <x:v>人工模拟结果，无对应检测报告</x:v>
      </x:c>
    </x:row>
    <x:row r="720">
      <x:c r="A720" s="54" t="str">
        <x:v>SIM-S120</x:v>
      </x:c>
      <x:c r="B720" s="54" t="str">
        <x:v>Au</x:v>
      </x:c>
      <x:c r="C720" s="45" t="str">
        <x:v>0.037</x:v>
      </x:c>
      <x:c r="D720" s="45" t="n">
        <x:v>0.037</x:v>
      </x:c>
      <x:c r="E720" s="54" t="str">
        <x:v>mg/kg</x:v>
      </x:c>
      <x:c r="F720" s="45" t="n">
        <x:v>0.005</x:v>
      </x:c>
      <x:c r="G720" s="45" t="str">
        <x:v>模拟检测法-Au</x:v>
      </x:c>
      <x:c r="H720" s="63" t="n">
        <x:v>46301</x:v>
      </x:c>
      <x:c r="I720" s="54" t="str">
        <x:v>SIM-LAB-04</x:v>
      </x:c>
      <x:c r="J720" s="45" t="str">
        <x:v>人工模拟结果，无对应检测报告</x:v>
      </x:c>
    </x:row>
    <x:row r="721">
      <x:c r="A721" s="54" t="str">
        <x:v>SIM-S120</x:v>
      </x:c>
      <x:c r="B721" s="54" t="str">
        <x:v>Ag</x:v>
      </x:c>
      <x:c r="C721" s="45" t="str">
        <x:v>1.27</x:v>
      </x:c>
      <x:c r="D721" s="45" t="n">
        <x:v>1.27</x:v>
      </x:c>
      <x:c r="E721" s="54" t="str">
        <x:v>mg/kg</x:v>
      </x:c>
      <x:c r="F721" s="45" t="n">
        <x:v>0.1</x:v>
      </x:c>
      <x:c r="G721" s="45" t="str">
        <x:v>模拟检测法-Ag</x:v>
      </x:c>
      <x:c r="H721" s="63" t="n">
        <x:v>46301</x:v>
      </x:c>
      <x:c r="I721" s="54" t="str">
        <x:v>SIM-LAB-04</x:v>
      </x:c>
      <x:c r="J721" s="45" t="str">
        <x:v>人工模拟结果，无对应检测报告</x:v>
      </x:c>
    </x:row>
    <x:row r="722">
      <x:c r="A722" s="54" t="str">
        <x:v>SIM-S120</x:v>
      </x:c>
      <x:c r="B722" s="54" t="str">
        <x:v>Cu</x:v>
      </x:c>
      <x:c r="C722" s="45" t="str">
        <x:v>0.0097</x:v>
      </x:c>
      <x:c r="D722" s="45" t="n">
        <x:v>0.0097</x:v>
      </x:c>
      <x:c r="E722" s="54" t="str">
        <x:v>%</x:v>
      </x:c>
      <x:c r="F722" s="45" t="n">
        <x:v>0.001</x:v>
      </x:c>
      <x:c r="G722" s="45" t="str">
        <x:v>模拟检测法-Cu</x:v>
      </x:c>
      <x:c r="H722" s="63" t="n">
        <x:v>46301</x:v>
      </x:c>
      <x:c r="I722" s="54" t="str">
        <x:v>SIM-LAB-04</x:v>
      </x:c>
      <x:c r="J722" s="45" t="str">
        <x:v>人工模拟结果，无对应检测报告</x:v>
      </x:c>
    </x:row>
    <x:row r="723">
      <x:c r="A723" s="54" t="str">
        <x:v>SIM-S120</x:v>
      </x:c>
      <x:c r="B723" s="54" t="str">
        <x:v>Pb</x:v>
      </x:c>
      <x:c r="C723" s="45" t="str">
        <x:v>0.0305</x:v>
      </x:c>
      <x:c r="D723" s="45" t="n">
        <x:v>0.0305</x:v>
      </x:c>
      <x:c r="E723" s="54" t="str">
        <x:v>%</x:v>
      </x:c>
      <x:c r="F723" s="45" t="n">
        <x:v>0.001</x:v>
      </x:c>
      <x:c r="G723" s="45" t="str">
        <x:v>模拟检测法-Pb</x:v>
      </x:c>
      <x:c r="H723" s="63" t="n">
        <x:v>46301</x:v>
      </x:c>
      <x:c r="I723" s="54" t="str">
        <x:v>SIM-LAB-04</x:v>
      </x:c>
      <x:c r="J723" s="45" t="str">
        <x:v>人工模拟结果，无对应检测报告</x:v>
      </x:c>
    </x:row>
    <x:row r="724">
      <x:c r="A724" s="54" t="str">
        <x:v>SIM-S120</x:v>
      </x:c>
      <x:c r="B724" s="54" t="str">
        <x:v>Zn</x:v>
      </x:c>
      <x:c r="C724" s="45" t="str">
        <x:v>0.0774</x:v>
      </x:c>
      <x:c r="D724" s="45" t="n">
        <x:v>0.0774</x:v>
      </x:c>
      <x:c r="E724" s="54" t="str">
        <x:v>%</x:v>
      </x:c>
      <x:c r="F724" s="45" t="n">
        <x:v>0.001</x:v>
      </x:c>
      <x:c r="G724" s="45" t="str">
        <x:v>模拟检测法-Zn</x:v>
      </x:c>
      <x:c r="H724" s="63" t="n">
        <x:v>46301</x:v>
      </x:c>
      <x:c r="I724" s="54" t="str">
        <x:v>SIM-LAB-04</x:v>
      </x:c>
      <x:c r="J724" s="45" t="str">
        <x:v>人工模拟结果，无对应检测报告</x:v>
      </x:c>
    </x:row>
    <x:row r="725">
      <x:c r="A725" s="54" t="str">
        <x:v>SIM-S120</x:v>
      </x:c>
      <x:c r="B725" s="54" t="str">
        <x:v>As</x:v>
      </x:c>
      <x:c r="C725" s="45" t="str">
        <x:v>5.8</x:v>
      </x:c>
      <x:c r="D725" s="45" t="n">
        <x:v>5.8</x:v>
      </x:c>
      <x:c r="E725" s="54" t="str">
        <x:v>mg/kg</x:v>
      </x:c>
      <x:c r="F725" s="45" t="n">
        <x:v>1</x:v>
      </x:c>
      <x:c r="G725" s="45" t="str">
        <x:v>模拟检测法-As</x:v>
      </x:c>
      <x:c r="H725" s="63" t="n">
        <x:v>46301</x:v>
      </x:c>
      <x:c r="I725" s="54" t="str">
        <x:v>SIM-LAB-04</x:v>
      </x:c>
      <x:c r="J725" s="45" t="str">
        <x:v>人工模拟结果，无对应检测报告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16" hidden="0" customWidth="1"/>
    <x:col min="12" max="12" width="17" hidden="0" customWidth="1"/>
  </x:cols>
  <x:sheetData>
    <x:row r="1" ht="24" customHeight="1">
      <x:c r="A1" s="3" t="str">
        <x:v>孔深校正及弯曲度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6" t="str">
        <x:v>角度基准、误差/误差率公式与超差阈值尚未定义；原始值、单位和顺序分别保留，不自动校正或换算轨迹。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14" t="str">
        <x:v>矿区名称</x:v>
      </x:c>
      <x:c r="B4" s="64" t="str">
        <x:v>青岚模拟矿区</x:v>
      </x:c>
      <x:c r="C4" s="65"/>
      <x:c r="D4" s="14" t="str">
        <x:v>工程编号</x:v>
      </x:c>
      <x:c r="E4" s="64" t="str">
        <x:v>SIM-ZK300-01</x:v>
      </x:c>
      <x:c r="F4" s="66"/>
      <x:c r="G4" s="65"/>
      <x:c r="H4" s="11" t="str">
        <x:v>第</x:v>
      </x:c>
      <x:c r="I4" s="16" t="n">
        <x:v>1</x:v>
      </x:c>
      <x:c r="J4" s="11" t="str">
        <x:v>页</x:v>
      </x:c>
      <x:c r="K4" s="11"/>
      <x:c r="L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34" customHeight="1">
      <x:c r="A6" s="31" t="str">
        <x:v>序号</x:v>
      </x:c>
      <x:c r="B6" s="31" t="str">
        <x:v>孔深校正</x:v>
      </x:c>
      <x:c r="C6" s="31"/>
      <x:c r="D6" s="31"/>
      <x:c r="E6" s="31"/>
      <x:c r="F6" s="31" t="str">
        <x:v>弯曲度测量</x:v>
      </x:c>
      <x:c r="G6" s="31"/>
      <x:c r="H6" s="31"/>
      <x:c r="I6" s="31"/>
      <x:c r="J6" s="31"/>
      <x:c r="K6" s="11"/>
      <x:c r="L6" s="11"/>
    </x:row>
    <x:row r="7" ht="34" customHeight="1">
      <x:c r="A7" s="31"/>
      <x:c r="B7" s="31" t="str">
        <x:v>记录孔深_m</x:v>
      </x:c>
      <x:c r="C7" s="31" t="str">
        <x:v>校测孔深_m</x:v>
      </x:c>
      <x:c r="D7" s="31" t="str">
        <x:v>误差_m</x:v>
      </x:c>
      <x:c r="E7" s="31" t="str">
        <x:v>误差率_pct</x:v>
      </x:c>
      <x:c r="F7" s="31" t="str">
        <x:v>测量孔深_m</x:v>
      </x:c>
      <x:c r="G7" s="31" t="str">
        <x:v>测量天顶角_deg</x:v>
      </x:c>
      <x:c r="H7" s="31" t="str">
        <x:v>实测方位角_deg</x:v>
      </x:c>
      <x:c r="I7" s="31" t="str">
        <x:v>测量方法</x:v>
      </x:c>
      <x:c r="J7" s="31" t="str">
        <x:v>测量仪器</x:v>
      </x:c>
      <x:c r="K7" s="11"/>
      <x:c r="L7" s="11"/>
    </x:row>
    <x:row r="8" ht="23" customHeight="1">
      <x:c r="A8" s="49" t="n">
        <x:f>IF(B8="","",ROW()-7)</x:f>
        <x:v>1</x:v>
      </x:c>
      <x:c r="B8" s="55" t="n">
        <x:v>15</x:v>
      </x:c>
      <x:c r="C8" s="55" t="n">
        <x:v>15</x:v>
      </x:c>
      <x:c r="D8" s="55" t="n">
        <x:v>0</x:v>
      </x:c>
      <x:c r="E8" s="55" t="n">
        <x:v>0</x:v>
      </x:c>
      <x:c r="F8" s="55" t="n">
        <x:v>15</x:v>
      </x:c>
      <x:c r="G8" s="55" t="n">
        <x:v>15.15</x:v>
      </x:c>
      <x:c r="H8" s="43" t="n">
        <x:v>95</x:v>
      </x:c>
      <x:c r="I8" s="43" t="str">
        <x:v>模拟定点测量</x:v>
      </x:c>
      <x:c r="J8" s="43" t="str">
        <x:v>SIM-测斜仪-01</x:v>
      </x:c>
      <x:c r="K8" s="11"/>
      <x:c r="L8" s="11"/>
    </x:row>
    <x:row r="9" ht="23" customHeight="1">
      <x:c r="A9" s="50" t="n">
        <x:f>IF(B9="","",ROW()-7)</x:f>
        <x:v>2</x:v>
      </x:c>
      <x:c r="B9" s="56" t="n">
        <x:v>30</x:v>
      </x:c>
      <x:c r="C9" s="56" t="n">
        <x:v>30.022</x:v>
      </x:c>
      <x:c r="D9" s="56" t="n">
        <x:v>0.022</x:v>
      </x:c>
      <x:c r="E9" s="56" t="n">
        <x:v>0.0733</x:v>
      </x:c>
      <x:c r="F9" s="56" t="n">
        <x:v>30</x:v>
      </x:c>
      <x:c r="G9" s="56" t="n">
        <x:v>15.3</x:v>
      </x:c>
      <x:c r="H9" s="44" t="n">
        <x:v>95.55</x:v>
      </x:c>
      <x:c r="I9" s="44" t="str">
        <x:v>模拟定点测量</x:v>
      </x:c>
      <x:c r="J9" s="44" t="str">
        <x:v>SIM-测斜仪-01</x:v>
      </x:c>
      <x:c r="K9" s="11"/>
      <x:c r="L9" s="11"/>
    </x:row>
    <x:row r="10" ht="23" customHeight="1">
      <x:c r="A10" s="50" t="n">
        <x:f>IF(B10="","",ROW()-7)</x:f>
        <x:v>3</x:v>
      </x:c>
      <x:c r="B10" s="56" t="n">
        <x:v>45</x:v>
      </x:c>
      <x:c r="C10" s="56" t="n">
        <x:v>45.03</x:v>
      </x:c>
      <x:c r="D10" s="56" t="n">
        <x:v>0.03</x:v>
      </x:c>
      <x:c r="E10" s="56" t="n">
        <x:v>0.0667</x:v>
      </x:c>
      <x:c r="F10" s="56" t="n">
        <x:v>45</x:v>
      </x:c>
      <x:c r="G10" s="56" t="n">
        <x:v>15.45</x:v>
      </x:c>
      <x:c r="H10" s="44" t="n">
        <x:v>96.03</x:v>
      </x:c>
      <x:c r="I10" s="44" t="str">
        <x:v>模拟定点测量</x:v>
      </x:c>
      <x:c r="J10" s="44" t="str">
        <x:v>SIM-测斜仪-01</x:v>
      </x:c>
      <x:c r="K10" s="11"/>
      <x:c r="L10" s="11"/>
    </x:row>
    <x:row r="11" ht="23" customHeight="1">
      <x:c r="A11" s="50" t="n">
        <x:f>IF(B11="","",ROW()-7)</x:f>
        <x:v>4</x:v>
      </x:c>
      <x:c r="B11" s="56" t="n">
        <x:v>60</x:v>
      </x:c>
      <x:c r="C11" s="56" t="n">
        <x:v>60.02</x:v>
      </x:c>
      <x:c r="D11" s="56" t="n">
        <x:v>0.02</x:v>
      </x:c>
      <x:c r="E11" s="56" t="n">
        <x:v>0.0333</x:v>
      </x:c>
      <x:c r="F11" s="56" t="n">
        <x:v>60</x:v>
      </x:c>
      <x:c r="G11" s="56" t="n">
        <x:v>15.6</x:v>
      </x:c>
      <x:c r="H11" s="44" t="n">
        <x:v>96.39</x:v>
      </x:c>
      <x:c r="I11" s="44" t="str">
        <x:v>模拟定点测量</x:v>
      </x:c>
      <x:c r="J11" s="44" t="str">
        <x:v>SIM-测斜仪-01</x:v>
      </x:c>
      <x:c r="K11" s="11"/>
      <x:c r="L11" s="11"/>
    </x:row>
    <x:row r="12" ht="23" customHeight="1">
      <x:c r="A12" s="50" t="n">
        <x:f>IF(B12="","",ROW()-7)</x:f>
        <x:v>5</x:v>
      </x:c>
      <x:c r="B12" s="56" t="n">
        <x:v>75</x:v>
      </x:c>
      <x:c r="C12" s="56" t="n">
        <x:v>74.998</x:v>
      </x:c>
      <x:c r="D12" s="56" t="n">
        <x:v>-0.002</x:v>
      </x:c>
      <x:c r="E12" s="56" t="n">
        <x:v>-0.0027</x:v>
      </x:c>
      <x:c r="F12" s="56" t="n">
        <x:v>75</x:v>
      </x:c>
      <x:c r="G12" s="56" t="n">
        <x:v>15.75</x:v>
      </x:c>
      <x:c r="H12" s="44" t="n">
        <x:v>96.58</x:v>
      </x:c>
      <x:c r="I12" s="44" t="str">
        <x:v>模拟定点测量</x:v>
      </x:c>
      <x:c r="J12" s="44" t="str">
        <x:v>SIM-测斜仪-01</x:v>
      </x:c>
      <x:c r="K12" s="11"/>
      <x:c r="L12" s="11"/>
    </x:row>
    <x:row r="13" ht="23" customHeight="1">
      <x:c r="A13" s="50" t="n">
        <x:f>IF(B13="","",ROW()-7)</x:f>
        <x:v>6</x:v>
      </x:c>
      <x:c r="B13" s="56" t="n">
        <x:v>90</x:v>
      </x:c>
      <x:c r="C13" s="56" t="n">
        <x:v>89.977</x:v>
      </x:c>
      <x:c r="D13" s="56" t="n">
        <x:v>-0.023</x:v>
      </x:c>
      <x:c r="E13" s="56" t="n">
        <x:v>-0.0256</x:v>
      </x:c>
      <x:c r="F13" s="56" t="n">
        <x:v>90</x:v>
      </x:c>
      <x:c r="G13" s="56" t="n">
        <x:v>15.9</x:v>
      </x:c>
      <x:c r="H13" s="44" t="n">
        <x:v>96.57</x:v>
      </x:c>
      <x:c r="I13" s="44" t="str">
        <x:v>模拟定点测量</x:v>
      </x:c>
      <x:c r="J13" s="44" t="str">
        <x:v>SIM-测斜仪-01</x:v>
      </x:c>
      <x:c r="K13" s="11"/>
      <x:c r="L13" s="11"/>
    </x:row>
    <x:row r="14" ht="23" customHeight="1">
      <x:c r="A14" s="50" t="n">
        <x:f>IF(B14="","",ROW()-7)</x:f>
        <x:v>7</x:v>
      </x:c>
      <x:c r="B14" s="56" t="n">
        <x:v>105</x:v>
      </x:c>
      <x:c r="C14" s="56" t="n">
        <x:v>104.97</x:v>
      </x:c>
      <x:c r="D14" s="56" t="n">
        <x:v>-0.03</x:v>
      </x:c>
      <x:c r="E14" s="56" t="n">
        <x:v>-0.0286</x:v>
      </x:c>
      <x:c r="F14" s="56" t="n">
        <x:v>105</x:v>
      </x:c>
      <x:c r="G14" s="56" t="n">
        <x:v>16.05</x:v>
      </x:c>
      <x:c r="H14" s="44" t="n">
        <x:v>96.38</x:v>
      </x:c>
      <x:c r="I14" s="44" t="str">
        <x:v>模拟定点测量</x:v>
      </x:c>
      <x:c r="J14" s="44" t="str">
        <x:v>SIM-测斜仪-01</x:v>
      </x:c>
      <x:c r="K14" s="11"/>
      <x:c r="L14" s="11"/>
    </x:row>
    <x:row r="15" ht="23" customHeight="1">
      <x:c r="A15" s="50" t="n">
        <x:f>IF(B15="","",ROW()-7)</x:f>
        <x:v>8</x:v>
      </x:c>
      <x:c r="B15" s="56" t="n">
        <x:v>120</x:v>
      </x:c>
      <x:c r="C15" s="56" t="n">
        <x:v>119.981</x:v>
      </x:c>
      <x:c r="D15" s="56" t="n">
        <x:v>-0.019</x:v>
      </x:c>
      <x:c r="E15" s="56" t="n">
        <x:v>-0.0158</x:v>
      </x:c>
      <x:c r="F15" s="56" t="n">
        <x:v>120</x:v>
      </x:c>
      <x:c r="G15" s="56" t="n">
        <x:v>16.2</x:v>
      </x:c>
      <x:c r="H15" s="44" t="n">
        <x:v>96.02</x:v>
      </x:c>
      <x:c r="I15" s="44" t="str">
        <x:v>模拟定点测量</x:v>
      </x:c>
      <x:c r="J15" s="44" t="str">
        <x:v>SIM-测斜仪-01</x:v>
      </x:c>
      <x:c r="K15" s="11"/>
      <x:c r="L15" s="11"/>
    </x:row>
    <x:row r="16" ht="23" customHeight="1">
      <x:c r="A16" s="50" t="n">
        <x:f>IF(B16="","",ROW()-7)</x:f>
        <x:v>9</x:v>
      </x:c>
      <x:c r="B16" s="56" t="n">
        <x:v>135</x:v>
      </x:c>
      <x:c r="C16" s="56" t="n">
        <x:v>135.003</x:v>
      </x:c>
      <x:c r="D16" s="56" t="n">
        <x:v>0.003</x:v>
      </x:c>
      <x:c r="E16" s="56" t="n">
        <x:v>0.0022</x:v>
      </x:c>
      <x:c r="F16" s="56" t="n">
        <x:v>135</x:v>
      </x:c>
      <x:c r="G16" s="56" t="n">
        <x:v>16.35</x:v>
      </x:c>
      <x:c r="H16" s="44" t="n">
        <x:v>95.54</x:v>
      </x:c>
      <x:c r="I16" s="44" t="str">
        <x:v>模拟定点测量</x:v>
      </x:c>
      <x:c r="J16" s="44" t="str">
        <x:v>SIM-测斜仪-01</x:v>
      </x:c>
      <x:c r="K16" s="11"/>
      <x:c r="L16" s="11"/>
    </x:row>
    <x:row r="17" ht="23" customHeight="1">
      <x:c r="A17" s="50" t="n">
        <x:f>IF(B17="","",ROW()-7)</x:f>
        <x:v>10</x:v>
      </x:c>
      <x:c r="B17" s="56" t="n">
        <x:v>150</x:v>
      </x:c>
      <x:c r="C17" s="56" t="n">
        <x:v>150.024</x:v>
      </x:c>
      <x:c r="D17" s="56" t="n">
        <x:v>0.024</x:v>
      </x:c>
      <x:c r="E17" s="56" t="n">
        <x:v>0.016</x:v>
      </x:c>
      <x:c r="F17" s="56" t="n">
        <x:v>150</x:v>
      </x:c>
      <x:c r="G17" s="56" t="n">
        <x:v>16.5</x:v>
      </x:c>
      <x:c r="H17" s="44" t="n">
        <x:v>94.99</x:v>
      </x:c>
      <x:c r="I17" s="44" t="str">
        <x:v>模拟定点测量</x:v>
      </x:c>
      <x:c r="J17" s="44" t="str">
        <x:v>SIM-测斜仪-01</x:v>
      </x:c>
      <x:c r="K17" s="11"/>
      <x:c r="L17" s="11"/>
    </x:row>
    <x:row r="18" ht="23" customHeight="1">
      <x:c r="A18" s="50" t="n">
        <x:f>IF(B18="","",ROW()-7)</x:f>
        <x:v>11</x:v>
      </x:c>
      <x:c r="B18" s="56" t="n">
        <x:v>165</x:v>
      </x:c>
      <x:c r="C18" s="56" t="n">
        <x:v>165.03</x:v>
      </x:c>
      <x:c r="D18" s="56" t="n">
        <x:v>0.03</x:v>
      </x:c>
      <x:c r="E18" s="56" t="n">
        <x:v>0.0182</x:v>
      </x:c>
      <x:c r="F18" s="56" t="n">
        <x:v>165</x:v>
      </x:c>
      <x:c r="G18" s="56" t="n">
        <x:v>16.65</x:v>
      </x:c>
      <x:c r="H18" s="44" t="n">
        <x:v>94.44</x:v>
      </x:c>
      <x:c r="I18" s="44" t="str">
        <x:v>模拟定点测量</x:v>
      </x:c>
      <x:c r="J18" s="44" t="str">
        <x:v>SIM-测斜仪-01</x:v>
      </x:c>
      <x:c r="K18" s="11"/>
      <x:c r="L18" s="11"/>
    </x:row>
    <x:row r="19" ht="23" customHeight="1">
      <x:c r="A19" s="50" t="n">
        <x:f>IF(B19="","",ROW()-7)</x:f>
        <x:v>12</x:v>
      </x:c>
      <x:c r="B19" s="56" t="n">
        <x:v>180</x:v>
      </x:c>
      <x:c r="C19" s="56" t="n">
        <x:v>180.018</x:v>
      </x:c>
      <x:c r="D19" s="56" t="n">
        <x:v>0.018</x:v>
      </x:c>
      <x:c r="E19" s="56" t="n">
        <x:v>0.01</x:v>
      </x:c>
      <x:c r="F19" s="56" t="n">
        <x:v>180</x:v>
      </x:c>
      <x:c r="G19" s="56" t="n">
        <x:v>16.8</x:v>
      </x:c>
      <x:c r="H19" s="44" t="n">
        <x:v>93.96</x:v>
      </x:c>
      <x:c r="I19" s="44" t="str">
        <x:v>模拟定点测量</x:v>
      </x:c>
      <x:c r="J19" s="44" t="str">
        <x:v>SIM-测斜仪-01</x:v>
      </x:c>
      <x:c r="K19" s="11"/>
      <x:c r="L19" s="11"/>
    </x:row>
    <x:row r="20" ht="23" customHeight="1">
      <x:c r="A20" s="50" t="n">
        <x:f>IF(B20="","",ROW()-7)</x:f>
        <x:v>13</x:v>
      </x:c>
      <x:c r="B20" s="56" t="n">
        <x:v>195</x:v>
      </x:c>
      <x:c r="C20" s="56" t="n">
        <x:v>194.995</x:v>
      </x:c>
      <x:c r="D20" s="56" t="n">
        <x:v>-0.005</x:v>
      </x:c>
      <x:c r="E20" s="56" t="n">
        <x:v>-0.0026</x:v>
      </x:c>
      <x:c r="F20" s="56" t="n">
        <x:v>195</x:v>
      </x:c>
      <x:c r="G20" s="56" t="n">
        <x:v>16.95</x:v>
      </x:c>
      <x:c r="H20" s="44" t="n">
        <x:v>93.61</x:v>
      </x:c>
      <x:c r="I20" s="44" t="str">
        <x:v>模拟定点测量</x:v>
      </x:c>
      <x:c r="J20" s="44" t="str">
        <x:v>SIM-测斜仪-01</x:v>
      </x:c>
      <x:c r="K20" s="11"/>
      <x:c r="L20" s="11"/>
    </x:row>
    <x:row r="21" ht="23" customHeight="1">
      <x:c r="A21" s="50" t="n">
        <x:f>IF(B21="","",ROW()-7)</x:f>
        <x:v>14</x:v>
      </x:c>
      <x:c r="B21" s="56" t="n">
        <x:v>210</x:v>
      </x:c>
      <x:c r="C21" s="56" t="n">
        <x:v>209.975</x:v>
      </x:c>
      <x:c r="D21" s="56" t="n">
        <x:v>-0.025</x:v>
      </x:c>
      <x:c r="E21" s="56" t="n">
        <x:v>-0.0119</x:v>
      </x:c>
      <x:c r="F21" s="56" t="n">
        <x:v>210</x:v>
      </x:c>
      <x:c r="G21" s="56" t="n">
        <x:v>17.1</x:v>
      </x:c>
      <x:c r="H21" s="44" t="n">
        <x:v>93.42</x:v>
      </x:c>
      <x:c r="I21" s="44" t="str">
        <x:v>模拟定点测量</x:v>
      </x:c>
      <x:c r="J21" s="44" t="str">
        <x:v>SIM-测斜仪-01</x:v>
      </x:c>
      <x:c r="K21" s="11"/>
      <x:c r="L21" s="11"/>
    </x:row>
    <x:row r="22" ht="23" customHeight="1">
      <x:c r="A22" s="50" t="n">
        <x:f>IF(B22="","",ROW()-7)</x:f>
        <x:v>15</x:v>
      </x:c>
      <x:c r="B22" s="56" t="n">
        <x:v>225</x:v>
      </x:c>
      <x:c r="C22" s="56" t="n">
        <x:v>224.971</x:v>
      </x:c>
      <x:c r="D22" s="56" t="n">
        <x:v>-0.029</x:v>
      </x:c>
      <x:c r="E22" s="56" t="n">
        <x:v>-0.0129</x:v>
      </x:c>
      <x:c r="F22" s="56" t="n">
        <x:v>225</x:v>
      </x:c>
      <x:c r="G22" s="56" t="n">
        <x:v>17.25</x:v>
      </x:c>
      <x:c r="H22" s="44" t="n">
        <x:v>93.43</x:v>
      </x:c>
      <x:c r="I22" s="44" t="str">
        <x:v>模拟定点测量</x:v>
      </x:c>
      <x:c r="J22" s="44" t="str">
        <x:v>SIM-测斜仪-01</x:v>
      </x:c>
      <x:c r="K22" s="11"/>
      <x:c r="L22" s="11"/>
    </x:row>
    <x:row r="23" ht="23" customHeight="1">
      <x:c r="A23" s="50" t="n">
        <x:f>IF(B23="","",ROW()-7)</x:f>
        <x:v>16</x:v>
      </x:c>
      <x:c r="B23" s="56" t="n">
        <x:v>300</x:v>
      </x:c>
      <x:c r="C23" s="56" t="n">
        <x:v>299.984</x:v>
      </x:c>
      <x:c r="D23" s="56" t="n">
        <x:v>-0.016</x:v>
      </x:c>
      <x:c r="E23" s="56" t="n">
        <x:v>-0.0053</x:v>
      </x:c>
      <x:c r="F23" s="56" t="n">
        <x:v>300</x:v>
      </x:c>
      <x:c r="G23" s="56" t="n">
        <x:v>18</x:v>
      </x:c>
      <x:c r="H23" s="44" t="n">
        <x:v>93.63</x:v>
      </x:c>
      <x:c r="I23" s="44" t="str">
        <x:v>模拟定点测量</x:v>
      </x:c>
      <x:c r="J23" s="44" t="str">
        <x:v>SIM-测斜仪-01</x:v>
      </x:c>
      <x:c r="K23" s="11"/>
      <x:c r="L23" s="11"/>
    </x:row>
    <x:row r="24" ht="23" customHeight="1">
      <x:c r="A24" s="50" t="str">
        <x:f>IF(B24="","",ROW()-7)</x:f>
      </x:c>
      <x:c r="B24" s="56"/>
      <x:c r="C24" s="56"/>
      <x:c r="D24" s="56"/>
      <x:c r="E24" s="56"/>
      <x:c r="F24" s="56"/>
      <x:c r="G24" s="56"/>
      <x:c r="H24" s="44"/>
      <x:c r="I24" s="44"/>
      <x:c r="J24" s="44"/>
      <x:c r="K24" s="11"/>
      <x:c r="L24" s="11"/>
    </x:row>
    <x:row r="25" ht="23" customHeight="1">
      <x:c r="A25" s="51" t="str">
        <x:f>IF(B25="","",ROW()-7)</x:f>
      </x:c>
      <x:c r="B25" s="57"/>
      <x:c r="C25" s="57"/>
      <x:c r="D25" s="57"/>
      <x:c r="E25" s="57"/>
      <x:c r="F25" s="57"/>
      <x:c r="G25" s="57"/>
      <x:c r="H25" s="45"/>
      <x:c r="I25" s="45"/>
      <x:c r="J25" s="45"/>
      <x:c r="K25" s="11"/>
      <x:c r="L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</x:row>
    <x:row r="27">
      <x:c r="A27" s="20" t="str">
        <x:v>孔深校正次数汇总（手填原表值）</x:v>
      </x:c>
      <x:c r="B27" s="21"/>
      <x:c r="C27" s="21"/>
      <x:c r="D27" s="21"/>
      <x:c r="E27" s="21"/>
      <x:c r="F27" s="22"/>
      <x:c r="G27" s="20" t="str">
        <x:v>弯曲度测量次数汇总（手填原表值）</x:v>
      </x:c>
      <x:c r="H27" s="21"/>
      <x:c r="I27" s="21"/>
      <x:c r="J27" s="21"/>
      <x:c r="K27" s="21"/>
      <x:c r="L27" s="22"/>
    </x:row>
    <x:row r="28">
      <x:c r="A28" s="14" t="str">
        <x:v>应测次数</x:v>
      </x:c>
      <x:c r="B28" s="11"/>
      <x:c r="C28" s="14" t="str">
        <x:v>实测次数</x:v>
      </x:c>
      <x:c r="D28" s="11"/>
      <x:c r="E28" s="14" t="str">
        <x:v>超差次数</x:v>
      </x:c>
      <x:c r="F28" s="11"/>
      <x:c r="G28" s="14" t="str">
        <x:v>应测次数</x:v>
      </x:c>
      <x:c r="H28" s="11"/>
      <x:c r="I28" s="14" t="str">
        <x:v>实测次数</x:v>
      </x:c>
      <x:c r="J28" s="11"/>
      <x:c r="K28" s="14" t="str">
        <x:v>超差次数</x:v>
      </x:c>
      <x:c r="L28" s="11"/>
    </x:row>
    <x:row r="29">
      <x:c r="A29" s="16"/>
      <x:c r="B29" s="16" t="n">
        <x:v>16</x:v>
      </x:c>
      <x:c r="C29" s="16"/>
      <x:c r="D29" s="16" t="n">
        <x:v>16</x:v>
      </x:c>
      <x:c r="E29" s="16"/>
      <x:c r="F29" s="16" t="n">
        <x:v>0</x:v>
      </x:c>
      <x:c r="G29" s="16"/>
      <x:c r="H29" s="16" t="n">
        <x:v>16</x:v>
      </x:c>
      <x:c r="I29" s="16"/>
      <x:c r="J29" s="16" t="n">
        <x:v>16</x:v>
      </x:c>
      <x:c r="K29" s="16"/>
      <x:c r="L29" s="16" t="n">
        <x:v>0</x:v>
      </x:c>
    </x:row>
    <x:row r="30">
      <x:c r="A30" s="14" t="str">
        <x:v>记录人</x:v>
      </x:c>
      <x:c r="B30" s="64" t="str">
        <x:v>模拟记录员甲</x:v>
      </x:c>
      <x:c r="C30" s="65"/>
      <x:c r="D30" s="14" t="str">
        <x:v>日期</x:v>
      </x:c>
      <x:c r="E30" s="126" t="n">
        <x:v>46296</x:v>
      </x:c>
      <x:c r="F30" s="65"/>
      <x:c r="G30" s="14" t="str">
        <x:v>检查人</x:v>
      </x:c>
      <x:c r="H30" s="64" t="str">
        <x:v>模拟复核员乙</x:v>
      </x:c>
      <x:c r="I30" s="65"/>
      <x:c r="J30" s="14" t="str">
        <x:v>日期</x:v>
      </x:c>
      <x:c r="K30" s="126" t="n">
        <x:v>46297</x:v>
      </x:c>
      <x:c r="L30" s="65"/>
    </x:row>
  </x:sheetData>
  <x:mergeCells>
    <x:mergeCell ref="A1:L1"/>
    <x:mergeCell ref="A2:L2"/>
    <x:mergeCell ref="B4:C4"/>
    <x:mergeCell ref="E4:G4"/>
    <x:mergeCell ref="A6:A7"/>
    <x:mergeCell ref="B6:E6"/>
    <x:mergeCell ref="F6:J6"/>
    <x:mergeCell ref="A27:F27"/>
    <x:mergeCell ref="G27:L27"/>
    <x:mergeCell ref="B30:C30"/>
    <x:mergeCell ref="E30:F30"/>
    <x:mergeCell ref="H30:I30"/>
    <x:mergeCell ref="K30:L3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8" hidden="0" customWidth="1"/>
  </x:cols>
  <x:sheetData>
    <x:row r="1" ht="24" customHeight="1">
      <x:c r="A1" s="3" t="str">
        <x:v>图签空白样式</x:v>
      </x:c>
      <x:c r="B1" s="3"/>
      <x:c r="C1" s="3"/>
      <x:c r="D1" s="3"/>
      <x:c r="E1" s="124"/>
    </x:row>
    <x:row r="2" ht="32" customHeight="1">
      <x:c r="A2" s="6" t="str">
        <x:v>版式草案，不含原表中的姓名/单位。四列参考宽度合计90mm；实际打印尺寸需在目标Excel中核对。</x:v>
      </x:c>
      <x:c r="B2" s="6"/>
      <x:c r="C2" s="6"/>
      <x:c r="D2" s="6"/>
      <x:c r="E2" s="124"/>
    </x:row>
    <x:row r="3">
      <x:c r="A3" s="11"/>
      <x:c r="B3" s="11"/>
      <x:c r="C3" s="11"/>
      <x:c r="D3" s="11"/>
      <x:c r="E3" s="124"/>
    </x:row>
    <x:row r="4" ht="26" customHeight="1">
      <x:c r="A4" s="14" t="str">
        <x:v>项目/单位</x:v>
      </x:c>
      <x:c r="B4" s="64" t="str">
        <x:v>山兔模拟地质项目组（虚构）</x:v>
      </x:c>
      <x:c r="C4" s="66"/>
      <x:c r="D4" s="65"/>
      <x:c r="E4" s="124"/>
    </x:row>
    <x:row r="5" ht="26" customHeight="1">
      <x:c r="A5" s="14" t="str">
        <x:v>图名</x:v>
      </x:c>
      <x:c r="B5" s="64" t="str">
        <x:v>300米钻孔柱状图（全量模拟）</x:v>
      </x:c>
      <x:c r="C5" s="66"/>
      <x:c r="D5" s="65"/>
      <x:c r="E5" s="124"/>
    </x:row>
    <x:row r="6" ht="26" customHeight="1">
      <x:c r="A6" s="14" t="str">
        <x:v>拟编</x:v>
      </x:c>
      <x:c r="B6" s="67" t="str">
        <x:v>模拟编录员甲</x:v>
      </x:c>
      <x:c r="C6" s="14" t="str">
        <x:v>审核</x:v>
      </x:c>
      <x:c r="D6" s="67" t="str">
        <x:v>模拟审核员乙</x:v>
      </x:c>
      <x:c r="E6" s="124"/>
    </x:row>
    <x:row r="7" ht="26" customHeight="1">
      <x:c r="A7" s="14" t="str">
        <x:v>制图</x:v>
      </x:c>
      <x:c r="B7" s="68" t="str">
        <x:v>模拟制图员丙</x:v>
      </x:c>
      <x:c r="C7" s="14" t="str">
        <x:v>项目负责</x:v>
      </x:c>
      <x:c r="D7" s="68" t="str">
        <x:v>模拟负责人丁</x:v>
      </x:c>
      <x:c r="E7" s="124"/>
    </x:row>
    <x:row r="8" ht="26" customHeight="1">
      <x:c r="A8" s="14" t="str">
        <x:v>单位负责</x:v>
      </x:c>
      <x:c r="B8" s="68" t="str">
        <x:v>模拟负责人戊</x:v>
      </x:c>
      <x:c r="C8" s="14" t="str">
        <x:v>图号</x:v>
      </x:c>
      <x:c r="D8" s="68" t="str">
        <x:v>SIM-FIG-001</x:v>
      </x:c>
      <x:c r="E8" s="124"/>
    </x:row>
    <x:row r="9" ht="26" customHeight="1">
      <x:c r="A9" s="14" t="str">
        <x:v>顺序号</x:v>
      </x:c>
      <x:c r="B9" s="68" t="n">
        <x:v>1</x:v>
      </x:c>
      <x:c r="C9" s="14" t="str">
        <x:v>比例尺分母</x:v>
      </x:c>
      <x:c r="D9" s="68" t="n">
        <x:v>100</x:v>
      </x:c>
      <x:c r="E9" s="124"/>
    </x:row>
    <x:row r="10" ht="26" customHeight="1">
      <x:c r="A10" s="14" t="str">
        <x:v>日期</x:v>
      </x:c>
      <x:c r="B10" s="127" t="n">
        <x:v>46304</x:v>
      </x:c>
      <x:c r="C10" s="14" t="str">
        <x:v>资料来源</x:v>
      </x:c>
      <x:c r="D10" s="69" t="str">
        <x:v>人工模拟资料</x:v>
      </x:c>
      <x:c r="E10" s="124"/>
    </x:row>
    <x:row r="11">
      <x:c r="A11" s="11"/>
      <x:c r="B11" s="11"/>
      <x:c r="C11" s="11"/>
      <x:c r="D11" s="11"/>
      <x:c r="E11" s="124"/>
    </x:row>
    <x:row r="12">
      <x:c r="A12" s="11"/>
      <x:c r="B12" s="11"/>
      <x:c r="C12" s="11"/>
      <x:c r="D12" s="11"/>
      <x:c r="E12" s="124"/>
    </x:row>
    <x:row r="13">
      <x:c r="A13" s="20" t="str">
        <x:v>图签布局参数（毫米与顺序可编辑）</x:v>
      </x:c>
      <x:c r="B13" s="21"/>
      <x:c r="C13" s="21"/>
      <x:c r="D13" s="22"/>
      <x:c r="E13" s="124"/>
    </x:row>
    <x:row r="14" ht="34" customHeight="1">
      <x:c r="A14" s="31" t="str">
        <x:v>版式项</x:v>
      </x:c>
      <x:c r="B14" s="31" t="str">
        <x:v>宽度_mm</x:v>
      </x:c>
      <x:c r="C14" s="31" t="str">
        <x:v>高度_mm</x:v>
      </x:c>
      <x:c r="D14" s="31" t="str">
        <x:v>顺序</x:v>
      </x:c>
      <x:c r="E14" s="31" t="str">
        <x:v>说明</x:v>
      </x:c>
    </x:row>
    <x:row r="15" ht="23" customHeight="1">
      <x:c r="A15" s="43" t="str">
        <x:v>列A</x:v>
      </x:c>
      <x:c r="B15" s="82" t="n">
        <x:v>20</x:v>
      </x:c>
      <x:c r="C15" s="85" t="n">
        <x:v>7</x:v>
      </x:c>
      <x:c r="D15" s="33" t="n">
        <x:v>1</x:v>
      </x:c>
      <x:c r="E15" s="43" t="str">
        <x:v>参考总宽90mm</x:v>
      </x:c>
    </x:row>
    <x:row r="16" ht="23" customHeight="1">
      <x:c r="A16" s="44" t="str">
        <x:v>列B</x:v>
      </x:c>
      <x:c r="B16" s="83" t="n">
        <x:v>25</x:v>
      </x:c>
      <x:c r="C16" s="86" t="n">
        <x:v>7</x:v>
      </x:c>
      <x:c r="D16" s="34" t="n">
        <x:v>2</x:v>
      </x:c>
      <x:c r="E16" s="44" t="str">
        <x:v>宽度为参考值</x:v>
      </x:c>
    </x:row>
    <x:row r="17" ht="23" customHeight="1">
      <x:c r="A17" s="44" t="str">
        <x:v>列C</x:v>
      </x:c>
      <x:c r="B17" s="83" t="n">
        <x:v>20</x:v>
      </x:c>
      <x:c r="C17" s="86" t="n">
        <x:v>7</x:v>
      </x:c>
      <x:c r="D17" s="34" t="n">
        <x:v>3</x:v>
      </x:c>
      <x:c r="E17" s="44" t="str">
        <x:v>高度由制图要求填写</x:v>
      </x:c>
    </x:row>
    <x:row r="18" ht="23" customHeight="1">
      <x:c r="A18" s="44" t="str">
        <x:v>列D</x:v>
      </x:c>
      <x:c r="B18" s="83" t="n">
        <x:v>25</x:v>
      </x:c>
      <x:c r="C18" s="86" t="n">
        <x:v>7</x:v>
      </x:c>
      <x:c r="D18" s="34" t="n">
        <x:v>4</x:v>
      </x:c>
      <x:c r="E18" s="44" t="str">
        <x:v>顺序可调整</x:v>
      </x:c>
    </x:row>
    <x:row r="19" ht="23" customHeight="1">
      <x:c r="A19" s="35" t="str">
        <x:v>参考总宽_mm</x:v>
      </x:c>
      <x:c r="B19" s="84" t="n">
        <x:f>SUM(B15:B18)</x:f>
        <x:v>90</x:v>
      </x:c>
      <x:c r="C19" s="35" t="str">
        <x:v>字段行高_mm（待填）</x:v>
      </x:c>
      <x:c r="D19" s="35" t="n">
        <x:v>7</x:v>
      </x:c>
      <x:c r="E19" s="45" t="str">
        <x:v>Excel列宽与打印mm并非同一单位</x:v>
      </x:c>
    </x:row>
    <x:row r="20">
      <x:c r="A20" s="11"/>
      <x:c r="B20" s="11"/>
      <x:c r="C20" s="11"/>
      <x:c r="D20" s="11"/>
      <x:c r="E20" s="124"/>
    </x:row>
    <x:row r="21">
      <x:c r="A21" s="11"/>
      <x:c r="B21" s="11"/>
      <x:c r="C21" s="11"/>
      <x:c r="D21" s="11"/>
      <x:c r="E21" s="124"/>
    </x:row>
    <x:row r="22">
      <x:c r="A22" s="11"/>
      <x:c r="B22" s="11"/>
      <x:c r="C22" s="11"/>
      <x:c r="D22" s="11"/>
      <x:c r="E22" s="124"/>
    </x:row>
    <x:row r="23">
      <x:c r="A23" s="11"/>
      <x:c r="B23" s="11"/>
      <x:c r="C23" s="11"/>
      <x:c r="D23" s="11"/>
      <x:c r="E23" s="124"/>
    </x:row>
    <x:row r="24">
      <x:c r="A24" s="11"/>
      <x:c r="B24" s="11"/>
      <x:c r="C24" s="11"/>
      <x:c r="D24" s="11"/>
      <x:c r="E24" s="124"/>
    </x:row>
    <x:row r="25">
      <x:c r="A25" s="11"/>
      <x:c r="B25" s="11"/>
      <x:c r="C25" s="11"/>
      <x:c r="D25" s="11"/>
      <x:c r="E25" s="124"/>
    </x:row>
    <x:row r="26">
      <x:c r="A26" s="11"/>
      <x:c r="B26" s="11"/>
      <x:c r="C26" s="11"/>
      <x:c r="D26" s="11"/>
      <x:c r="E26" s="124"/>
    </x:row>
    <x:row r="27">
      <x:c r="A27" s="11"/>
      <x:c r="B27" s="11"/>
      <x:c r="C27" s="11"/>
      <x:c r="D27" s="11"/>
      <x:c r="E27" s="124"/>
    </x:row>
    <x:row r="28">
      <x:c r="A28" s="11"/>
      <x:c r="B28" s="11"/>
      <x:c r="C28" s="11"/>
      <x:c r="D28" s="11"/>
      <x:c r="E28" s="124"/>
    </x:row>
    <x:row r="29">
      <x:c r="A29" s="11"/>
      <x:c r="B29" s="11"/>
      <x:c r="C29" s="11"/>
      <x:c r="D29" s="11"/>
      <x:c r="E29" s="124"/>
    </x:row>
    <x:row r="30">
      <x:c r="A30" s="11"/>
      <x:c r="B30" s="11"/>
      <x:c r="C30" s="11"/>
      <x:c r="D30" s="11"/>
      <x:c r="E30" s="124"/>
    </x:row>
  </x:sheetData>
  <x:mergeCells>
    <x:mergeCell ref="A1:D1"/>
    <x:mergeCell ref="A2:D2"/>
    <x:mergeCell ref="B4:D4"/>
    <x:mergeCell ref="B5:D5"/>
    <x:mergeCell ref="A13:D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13" hidden="0" customWidth="1"/>
    <x:col min="4" max="4" width="11" hidden="0" customWidth="1"/>
    <x:col min="5" max="5" width="12" hidden="0" customWidth="1"/>
    <x:col min="6" max="6" width="13" hidden="0" customWidth="1"/>
    <x:col min="7" max="7" width="15" hidden="0" customWidth="1"/>
    <x:col min="8" max="8" width="14" hidden="0" customWidth="1"/>
    <x:col min="9" max="9" width="18" hidden="0" customWidth="1"/>
    <x:col min="10" max="10" width="18" hidden="0" customWidth="1"/>
    <x:col min="11" max="11" width="10" hidden="0" customWidth="1"/>
    <x:col min="12" max="12" width="10" hidden="0" customWidth="1"/>
  </x:cols>
  <x:sheetData>
    <x:row r="1" ht="24" customHeight="1">
      <x:c r="A1" s="3" t="str">
        <x:v>图面示意（空白版式草案）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6" t="str">
        <x:v>完整模拟示例：300米级钻孔，包含100回次、30层、120样品、720项测试结果和16个测点；内容全部为虚构数据。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14" t="str">
        <x:v>钻孔编号</x:v>
      </x:c>
      <x:c r="B4" s="24" t="str">
        <x:f>IF('钻孔基本信息'!F4="","",'钻孔基本信息'!F4)</x:f>
        <x:v>SIM-ZK300-01</x:v>
      </x:c>
      <x:c r="C4" s="11"/>
      <x:c r="D4" s="14" t="str">
        <x:v>终孔深度_m</x:v>
      </x:c>
      <x:c r="E4" s="24" t="n">
        <x:f>IF('钻孔基本信息'!F5="","",'钻孔基本信息'!F5)</x:f>
        <x:v>300</x:v>
      </x:c>
      <x:c r="F4" s="11"/>
      <x:c r="G4" s="11"/>
      <x:c r="H4" s="11"/>
      <x:c r="I4" s="11"/>
      <x:c r="J4" s="11"/>
      <x:c r="K4" s="11"/>
      <x:c r="L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34" customHeight="1">
      <x:c r="A6" s="31" t="str">
        <x:v>钻孔主图示意区（完整模拟数据与16个测点链接）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</x:row>
    <x:row r="7">
      <x:c r="A7" s="96" t="str">
        <x:v>主图留白区
待用户确认打印版式与数据映射</x:v>
      </x:c>
      <x:c r="B7" s="97"/>
      <x:c r="C7" s="97"/>
      <x:c r="D7" s="97"/>
      <x:c r="E7" s="97"/>
      <x:c r="F7" s="97"/>
      <x:c r="G7" s="97"/>
      <x:c r="H7" s="97"/>
      <x:c r="I7" s="97"/>
      <x:c r="J7" s="97"/>
      <x:c r="K7" s="97"/>
      <x:c r="L7" s="98"/>
    </x:row>
    <x:row r="8">
      <x:c r="A8" s="99"/>
      <x:c r="B8" s="100"/>
      <x:c r="C8" s="100"/>
      <x:c r="D8" s="100"/>
      <x:c r="E8" s="100"/>
      <x:c r="F8" s="100"/>
      <x:c r="G8" s="100"/>
      <x:c r="H8" s="100"/>
      <x:c r="I8" s="100"/>
      <x:c r="J8" s="100"/>
      <x:c r="K8" s="100"/>
      <x:c r="L8" s="101"/>
    </x:row>
    <x:row r="9">
      <x:c r="A9" s="99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1"/>
    </x:row>
    <x:row r="10">
      <x:c r="A10" s="99"/>
      <x:c r="B10" s="100"/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1"/>
    </x:row>
    <x:row r="11">
      <x:c r="A11" s="99"/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1"/>
    </x:row>
    <x:row r="12">
      <x:c r="A12" s="99"/>
      <x:c r="B12" s="100"/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1"/>
    </x:row>
    <x:row r="13">
      <x:c r="A13" s="102"/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4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5">
      <x:c r="A15" s="20" t="str">
        <x:v>孔深校正及弯曲度（独立小表；完整保留序号与9项原字段）</x:v>
      </x:c>
      <x:c r="B15" s="21"/>
      <x:c r="C15" s="21"/>
      <x:c r="D15" s="21"/>
      <x:c r="E15" s="21"/>
      <x:c r="F15" s="21"/>
      <x:c r="G15" s="21"/>
      <x:c r="H15" s="21"/>
      <x:c r="I15" s="21"/>
      <x:c r="J15" s="22"/>
      <x:c r="K15" s="11"/>
      <x:c r="L15" s="11"/>
    </x:row>
    <x:row r="16" ht="34" customHeight="1">
      <x:c r="A16" s="31" t="str">
        <x:v>序号</x:v>
      </x:c>
      <x:c r="B16" s="31" t="str">
        <x:v>记录孔深_m</x:v>
      </x:c>
      <x:c r="C16" s="31" t="str">
        <x:v>校测孔深_m</x:v>
      </x:c>
      <x:c r="D16" s="31" t="str">
        <x:v>误差_m</x:v>
      </x:c>
      <x:c r="E16" s="31" t="str">
        <x:v>误差率_pct</x:v>
      </x:c>
      <x:c r="F16" s="31" t="str">
        <x:v>测量孔深_m</x:v>
      </x:c>
      <x:c r="G16" s="31" t="str">
        <x:v>测量天顶角_deg</x:v>
      </x:c>
      <x:c r="H16" s="31" t="str">
        <x:v>实测方位角_deg</x:v>
      </x:c>
      <x:c r="I16" s="31" t="str">
        <x:v>测量方法</x:v>
      </x:c>
      <x:c r="J16" s="31" t="str">
        <x:v>测量仪器</x:v>
      </x:c>
      <x:c r="K16" s="11"/>
      <x:c r="L16" s="11"/>
    </x:row>
    <x:row r="17" ht="20" customHeight="1">
      <x:c r="A17" s="106" t="n">
        <x:f>IF('孔深校正及弯曲度'!A8="","",'孔深校正及弯曲度'!A8)</x:f>
        <x:v>1</x:v>
      </x:c>
      <x:c r="B17" s="106" t="n">
        <x:f>IF('孔深校正及弯曲度'!B8="","",'孔深校正及弯曲度'!B8)</x:f>
        <x:v>15</x:v>
      </x:c>
      <x:c r="C17" s="106" t="n">
        <x:f>IF('孔深校正及弯曲度'!C8="","",'孔深校正及弯曲度'!C8)</x:f>
        <x:v>15</x:v>
      </x:c>
      <x:c r="D17" s="106" t="str">
        <x:f>IF('孔深校正及弯曲度'!D8="","",'孔深校正及弯曲度'!D8)</x:f>
      </x:c>
      <x:c r="E17" s="106" t="str">
        <x:f>IF('孔深校正及弯曲度'!E8="","",'孔深校正及弯曲度'!E8)</x:f>
      </x:c>
      <x:c r="F17" s="106" t="n">
        <x:f>IF('孔深校正及弯曲度'!F8="","",'孔深校正及弯曲度'!F8)</x:f>
        <x:v>15</x:v>
      </x:c>
      <x:c r="G17" s="106" t="n">
        <x:f>IF('孔深校正及弯曲度'!G8="","",'孔深校正及弯曲度'!G8)</x:f>
        <x:v>15.15</x:v>
      </x:c>
      <x:c r="H17" s="106" t="n">
        <x:f>IF('孔深校正及弯曲度'!H8="","",'孔深校正及弯曲度'!H8)</x:f>
        <x:v>95</x:v>
      </x:c>
      <x:c r="I17" s="106" t="str">
        <x:f>IF('孔深校正及弯曲度'!I8="","",'孔深校正及弯曲度'!I8)</x:f>
        <x:v>模拟定点测量</x:v>
      </x:c>
      <x:c r="J17" s="106" t="str">
        <x:f>IF('孔深校正及弯曲度'!J8="","",'孔深校正及弯曲度'!J8)</x:f>
        <x:v>SIM-测斜仪-01</x:v>
      </x:c>
      <x:c r="K17" s="11"/>
      <x:c r="L17" s="11"/>
    </x:row>
    <x:row r="18" ht="20" customHeight="1">
      <x:c r="A18" s="107" t="n">
        <x:f>IF('孔深校正及弯曲度'!A9="","",'孔深校正及弯曲度'!A9)</x:f>
        <x:v>2</x:v>
      </x:c>
      <x:c r="B18" s="107" t="n">
        <x:f>IF('孔深校正及弯曲度'!B9="","",'孔深校正及弯曲度'!B9)</x:f>
        <x:v>30</x:v>
      </x:c>
      <x:c r="C18" s="107" t="n">
        <x:f>IF('孔深校正及弯曲度'!C9="","",'孔深校正及弯曲度'!C9)</x:f>
        <x:v>30.022</x:v>
      </x:c>
      <x:c r="D18" s="107" t="n">
        <x:f>IF('孔深校正及弯曲度'!D9="","",'孔深校正及弯曲度'!D9)</x:f>
        <x:v>0.022</x:v>
      </x:c>
      <x:c r="E18" s="107" t="n">
        <x:f>IF('孔深校正及弯曲度'!E9="","",'孔深校正及弯曲度'!E9)</x:f>
        <x:v>0.0733</x:v>
      </x:c>
      <x:c r="F18" s="107" t="n">
        <x:f>IF('孔深校正及弯曲度'!F9="","",'孔深校正及弯曲度'!F9)</x:f>
        <x:v>30</x:v>
      </x:c>
      <x:c r="G18" s="107" t="n">
        <x:f>IF('孔深校正及弯曲度'!G9="","",'孔深校正及弯曲度'!G9)</x:f>
        <x:v>15.3</x:v>
      </x:c>
      <x:c r="H18" s="107" t="n">
        <x:f>IF('孔深校正及弯曲度'!H9="","",'孔深校正及弯曲度'!H9)</x:f>
        <x:v>95.55</x:v>
      </x:c>
      <x:c r="I18" s="107" t="str">
        <x:f>IF('孔深校正及弯曲度'!I9="","",'孔深校正及弯曲度'!I9)</x:f>
        <x:v>模拟定点测量</x:v>
      </x:c>
      <x:c r="J18" s="107" t="str">
        <x:f>IF('孔深校正及弯曲度'!J9="","",'孔深校正及弯曲度'!J9)</x:f>
        <x:v>SIM-测斜仪-01</x:v>
      </x:c>
      <x:c r="K18" s="11"/>
      <x:c r="L18" s="11"/>
    </x:row>
    <x:row r="19" ht="20" customHeight="1">
      <x:c r="A19" s="107" t="n">
        <x:f>IF('孔深校正及弯曲度'!A10="","",'孔深校正及弯曲度'!A10)</x:f>
        <x:v>3</x:v>
      </x:c>
      <x:c r="B19" s="107" t="n">
        <x:f>IF('孔深校正及弯曲度'!B10="","",'孔深校正及弯曲度'!B10)</x:f>
        <x:v>45</x:v>
      </x:c>
      <x:c r="C19" s="107" t="n">
        <x:f>IF('孔深校正及弯曲度'!C10="","",'孔深校正及弯曲度'!C10)</x:f>
        <x:v>45.03</x:v>
      </x:c>
      <x:c r="D19" s="107" t="n">
        <x:f>IF('孔深校正及弯曲度'!D10="","",'孔深校正及弯曲度'!D10)</x:f>
        <x:v>0.03</x:v>
      </x:c>
      <x:c r="E19" s="107" t="n">
        <x:f>IF('孔深校正及弯曲度'!E10="","",'孔深校正及弯曲度'!E10)</x:f>
        <x:v>0.0667</x:v>
      </x:c>
      <x:c r="F19" s="107" t="n">
        <x:f>IF('孔深校正及弯曲度'!F10="","",'孔深校正及弯曲度'!F10)</x:f>
        <x:v>45</x:v>
      </x:c>
      <x:c r="G19" s="107" t="n">
        <x:f>IF('孔深校正及弯曲度'!G10="","",'孔深校正及弯曲度'!G10)</x:f>
        <x:v>15.45</x:v>
      </x:c>
      <x:c r="H19" s="107" t="n">
        <x:f>IF('孔深校正及弯曲度'!H10="","",'孔深校正及弯曲度'!H10)</x:f>
        <x:v>96.03</x:v>
      </x:c>
      <x:c r="I19" s="107" t="str">
        <x:f>IF('孔深校正及弯曲度'!I10="","",'孔深校正及弯曲度'!I10)</x:f>
        <x:v>模拟定点测量</x:v>
      </x:c>
      <x:c r="J19" s="107" t="str">
        <x:f>IF('孔深校正及弯曲度'!J10="","",'孔深校正及弯曲度'!J10)</x:f>
        <x:v>SIM-测斜仪-01</x:v>
      </x:c>
      <x:c r="K19" s="11"/>
      <x:c r="L19" s="11"/>
    </x:row>
    <x:row r="20" ht="20" customHeight="1">
      <x:c r="A20" s="107" t="n">
        <x:f>IF('孔深校正及弯曲度'!A11="","",'孔深校正及弯曲度'!A11)</x:f>
        <x:v>4</x:v>
      </x:c>
      <x:c r="B20" s="107" t="n">
        <x:f>IF('孔深校正及弯曲度'!B11="","",'孔深校正及弯曲度'!B11)</x:f>
        <x:v>60</x:v>
      </x:c>
      <x:c r="C20" s="107" t="n">
        <x:f>IF('孔深校正及弯曲度'!C11="","",'孔深校正及弯曲度'!C11)</x:f>
        <x:v>60.02</x:v>
      </x:c>
      <x:c r="D20" s="107" t="n">
        <x:f>IF('孔深校正及弯曲度'!D11="","",'孔深校正及弯曲度'!D11)</x:f>
        <x:v>0.02</x:v>
      </x:c>
      <x:c r="E20" s="107" t="n">
        <x:f>IF('孔深校正及弯曲度'!E11="","",'孔深校正及弯曲度'!E11)</x:f>
        <x:v>0.0333</x:v>
      </x:c>
      <x:c r="F20" s="107" t="n">
        <x:f>IF('孔深校正及弯曲度'!F11="","",'孔深校正及弯曲度'!F11)</x:f>
        <x:v>60</x:v>
      </x:c>
      <x:c r="G20" s="107" t="n">
        <x:f>IF('孔深校正及弯曲度'!G11="","",'孔深校正及弯曲度'!G11)</x:f>
        <x:v>15.6</x:v>
      </x:c>
      <x:c r="H20" s="107" t="n">
        <x:f>IF('孔深校正及弯曲度'!H11="","",'孔深校正及弯曲度'!H11)</x:f>
        <x:v>96.39</x:v>
      </x:c>
      <x:c r="I20" s="107" t="str">
        <x:f>IF('孔深校正及弯曲度'!I11="","",'孔深校正及弯曲度'!I11)</x:f>
        <x:v>模拟定点测量</x:v>
      </x:c>
      <x:c r="J20" s="107" t="str">
        <x:f>IF('孔深校正及弯曲度'!J11="","",'孔深校正及弯曲度'!J11)</x:f>
        <x:v>SIM-测斜仪-01</x:v>
      </x:c>
      <x:c r="K20" s="11"/>
      <x:c r="L20" s="11"/>
    </x:row>
    <x:row r="21" ht="20" customHeight="1">
      <x:c r="A21" s="107" t="n">
        <x:f>IF('孔深校正及弯曲度'!A12="","",'孔深校正及弯曲度'!A12)</x:f>
        <x:v>5</x:v>
      </x:c>
      <x:c r="B21" s="107" t="n">
        <x:f>IF('孔深校正及弯曲度'!B12="","",'孔深校正及弯曲度'!B12)</x:f>
        <x:v>75</x:v>
      </x:c>
      <x:c r="C21" s="107" t="n">
        <x:f>IF('孔深校正及弯曲度'!C12="","",'孔深校正及弯曲度'!C12)</x:f>
        <x:v>74.998</x:v>
      </x:c>
      <x:c r="D21" s="107" t="n">
        <x:f>IF('孔深校正及弯曲度'!D12="","",'孔深校正及弯曲度'!D12)</x:f>
        <x:v>-0.002</x:v>
      </x:c>
      <x:c r="E21" s="107" t="n">
        <x:f>IF('孔深校正及弯曲度'!E12="","",'孔深校正及弯曲度'!E12)</x:f>
        <x:v>-0.0027</x:v>
      </x:c>
      <x:c r="F21" s="107" t="n">
        <x:f>IF('孔深校正及弯曲度'!F12="","",'孔深校正及弯曲度'!F12)</x:f>
        <x:v>75</x:v>
      </x:c>
      <x:c r="G21" s="107" t="n">
        <x:f>IF('孔深校正及弯曲度'!G12="","",'孔深校正及弯曲度'!G12)</x:f>
        <x:v>15.75</x:v>
      </x:c>
      <x:c r="H21" s="107" t="n">
        <x:f>IF('孔深校正及弯曲度'!H12="","",'孔深校正及弯曲度'!H12)</x:f>
        <x:v>96.58</x:v>
      </x:c>
      <x:c r="I21" s="107" t="str">
        <x:f>IF('孔深校正及弯曲度'!I12="","",'孔深校正及弯曲度'!I12)</x:f>
        <x:v>模拟定点测量</x:v>
      </x:c>
      <x:c r="J21" s="107" t="str">
        <x:f>IF('孔深校正及弯曲度'!J12="","",'孔深校正及弯曲度'!J12)</x:f>
        <x:v>SIM-测斜仪-01</x:v>
      </x:c>
      <x:c r="K21" s="11"/>
      <x:c r="L21" s="11"/>
    </x:row>
    <x:row r="22" ht="20" customHeight="1">
      <x:c r="A22" s="107" t="n">
        <x:f>IF('孔深校正及弯曲度'!A13="","",'孔深校正及弯曲度'!A13)</x:f>
        <x:v>6</x:v>
      </x:c>
      <x:c r="B22" s="107" t="n">
        <x:f>IF('孔深校正及弯曲度'!B13="","",'孔深校正及弯曲度'!B13)</x:f>
        <x:v>90</x:v>
      </x:c>
      <x:c r="C22" s="107" t="n">
        <x:f>IF('孔深校正及弯曲度'!C13="","",'孔深校正及弯曲度'!C13)</x:f>
        <x:v>89.977</x:v>
      </x:c>
      <x:c r="D22" s="107" t="n">
        <x:f>IF('孔深校正及弯曲度'!D13="","",'孔深校正及弯曲度'!D13)</x:f>
        <x:v>-0.023</x:v>
      </x:c>
      <x:c r="E22" s="107" t="n">
        <x:f>IF('孔深校正及弯曲度'!E13="","",'孔深校正及弯曲度'!E13)</x:f>
        <x:v>-0.0256</x:v>
      </x:c>
      <x:c r="F22" s="107" t="n">
        <x:f>IF('孔深校正及弯曲度'!F13="","",'孔深校正及弯曲度'!F13)</x:f>
        <x:v>90</x:v>
      </x:c>
      <x:c r="G22" s="107" t="n">
        <x:f>IF('孔深校正及弯曲度'!G13="","",'孔深校正及弯曲度'!G13)</x:f>
        <x:v>15.9</x:v>
      </x:c>
      <x:c r="H22" s="107" t="n">
        <x:f>IF('孔深校正及弯曲度'!H13="","",'孔深校正及弯曲度'!H13)</x:f>
        <x:v>96.57</x:v>
      </x:c>
      <x:c r="I22" s="107" t="str">
        <x:f>IF('孔深校正及弯曲度'!I13="","",'孔深校正及弯曲度'!I13)</x:f>
        <x:v>模拟定点测量</x:v>
      </x:c>
      <x:c r="J22" s="107" t="str">
        <x:f>IF('孔深校正及弯曲度'!J13="","",'孔深校正及弯曲度'!J13)</x:f>
        <x:v>SIM-测斜仪-01</x:v>
      </x:c>
      <x:c r="K22" s="11"/>
      <x:c r="L22" s="11"/>
    </x:row>
    <x:row r="23" ht="20" customHeight="1">
      <x:c r="A23" s="107" t="n">
        <x:f>IF('孔深校正及弯曲度'!A14="","",'孔深校正及弯曲度'!A14)</x:f>
        <x:v>7</x:v>
      </x:c>
      <x:c r="B23" s="107" t="n">
        <x:f>IF('孔深校正及弯曲度'!B14="","",'孔深校正及弯曲度'!B14)</x:f>
        <x:v>105</x:v>
      </x:c>
      <x:c r="C23" s="107" t="n">
        <x:f>IF('孔深校正及弯曲度'!C14="","",'孔深校正及弯曲度'!C14)</x:f>
        <x:v>104.97</x:v>
      </x:c>
      <x:c r="D23" s="107" t="n">
        <x:f>IF('孔深校正及弯曲度'!D14="","",'孔深校正及弯曲度'!D14)</x:f>
        <x:v>-0.03</x:v>
      </x:c>
      <x:c r="E23" s="107" t="n">
        <x:f>IF('孔深校正及弯曲度'!E14="","",'孔深校正及弯曲度'!E14)</x:f>
        <x:v>-0.0286</x:v>
      </x:c>
      <x:c r="F23" s="107" t="n">
        <x:f>IF('孔深校正及弯曲度'!F14="","",'孔深校正及弯曲度'!F14)</x:f>
        <x:v>105</x:v>
      </x:c>
      <x:c r="G23" s="107" t="n">
        <x:f>IF('孔深校正及弯曲度'!G14="","",'孔深校正及弯曲度'!G14)</x:f>
        <x:v>16.05</x:v>
      </x:c>
      <x:c r="H23" s="107" t="n">
        <x:f>IF('孔深校正及弯曲度'!H14="","",'孔深校正及弯曲度'!H14)</x:f>
        <x:v>96.38</x:v>
      </x:c>
      <x:c r="I23" s="107" t="str">
        <x:f>IF('孔深校正及弯曲度'!I14="","",'孔深校正及弯曲度'!I14)</x:f>
        <x:v>模拟定点测量</x:v>
      </x:c>
      <x:c r="J23" s="107" t="str">
        <x:f>IF('孔深校正及弯曲度'!J14="","",'孔深校正及弯曲度'!J14)</x:f>
        <x:v>SIM-测斜仪-01</x:v>
      </x:c>
      <x:c r="K23" s="11"/>
      <x:c r="L23" s="11"/>
    </x:row>
    <x:row r="24" ht="20" customHeight="1">
      <x:c r="A24" s="107" t="n">
        <x:f>IF('孔深校正及弯曲度'!A15="","",'孔深校正及弯曲度'!A15)</x:f>
        <x:v>8</x:v>
      </x:c>
      <x:c r="B24" s="107" t="n">
        <x:f>IF('孔深校正及弯曲度'!B15="","",'孔深校正及弯曲度'!B15)</x:f>
        <x:v>120</x:v>
      </x:c>
      <x:c r="C24" s="107" t="n">
        <x:f>IF('孔深校正及弯曲度'!C15="","",'孔深校正及弯曲度'!C15)</x:f>
        <x:v>119.981</x:v>
      </x:c>
      <x:c r="D24" s="107" t="n">
        <x:f>IF('孔深校正及弯曲度'!D15="","",'孔深校正及弯曲度'!D15)</x:f>
        <x:v>-0.019</x:v>
      </x:c>
      <x:c r="E24" s="107" t="n">
        <x:f>IF('孔深校正及弯曲度'!E15="","",'孔深校正及弯曲度'!E15)</x:f>
        <x:v>-0.0158</x:v>
      </x:c>
      <x:c r="F24" s="107" t="n">
        <x:f>IF('孔深校正及弯曲度'!F15="","",'孔深校正及弯曲度'!F15)</x:f>
        <x:v>120</x:v>
      </x:c>
      <x:c r="G24" s="107" t="n">
        <x:f>IF('孔深校正及弯曲度'!G15="","",'孔深校正及弯曲度'!G15)</x:f>
        <x:v>16.2</x:v>
      </x:c>
      <x:c r="H24" s="107" t="n">
        <x:f>IF('孔深校正及弯曲度'!H15="","",'孔深校正及弯曲度'!H15)</x:f>
        <x:v>96.02</x:v>
      </x:c>
      <x:c r="I24" s="107" t="str">
        <x:f>IF('孔深校正及弯曲度'!I15="","",'孔深校正及弯曲度'!I15)</x:f>
        <x:v>模拟定点测量</x:v>
      </x:c>
      <x:c r="J24" s="107" t="str">
        <x:f>IF('孔深校正及弯曲度'!J15="","",'孔深校正及弯曲度'!J15)</x:f>
        <x:v>SIM-测斜仪-01</x:v>
      </x:c>
      <x:c r="K24" s="11"/>
      <x:c r="L24" s="11"/>
    </x:row>
    <x:row r="25" ht="20" customHeight="1">
      <x:c r="A25" s="107" t="n">
        <x:f>IF('孔深校正及弯曲度'!A16="","",'孔深校正及弯曲度'!A16)</x:f>
        <x:v>9</x:v>
      </x:c>
      <x:c r="B25" s="107" t="n">
        <x:f>IF('孔深校正及弯曲度'!B16="","",'孔深校正及弯曲度'!B16)</x:f>
        <x:v>135</x:v>
      </x:c>
      <x:c r="C25" s="107" t="n">
        <x:f>IF('孔深校正及弯曲度'!C16="","",'孔深校正及弯曲度'!C16)</x:f>
        <x:v>135.003</x:v>
      </x:c>
      <x:c r="D25" s="107" t="n">
        <x:f>IF('孔深校正及弯曲度'!D16="","",'孔深校正及弯曲度'!D16)</x:f>
        <x:v>0.003</x:v>
      </x:c>
      <x:c r="E25" s="107" t="n">
        <x:f>IF('孔深校正及弯曲度'!E16="","",'孔深校正及弯曲度'!E16)</x:f>
        <x:v>0.0022</x:v>
      </x:c>
      <x:c r="F25" s="107" t="n">
        <x:f>IF('孔深校正及弯曲度'!F16="","",'孔深校正及弯曲度'!F16)</x:f>
        <x:v>135</x:v>
      </x:c>
      <x:c r="G25" s="107" t="n">
        <x:f>IF('孔深校正及弯曲度'!G16="","",'孔深校正及弯曲度'!G16)</x:f>
        <x:v>16.35</x:v>
      </x:c>
      <x:c r="H25" s="107" t="n">
        <x:f>IF('孔深校正及弯曲度'!H16="","",'孔深校正及弯曲度'!H16)</x:f>
        <x:v>95.54</x:v>
      </x:c>
      <x:c r="I25" s="107" t="str">
        <x:f>IF('孔深校正及弯曲度'!I16="","",'孔深校正及弯曲度'!I16)</x:f>
        <x:v>模拟定点测量</x:v>
      </x:c>
      <x:c r="J25" s="107" t="str">
        <x:f>IF('孔深校正及弯曲度'!J16="","",'孔深校正及弯曲度'!J16)</x:f>
        <x:v>SIM-测斜仪-01</x:v>
      </x:c>
      <x:c r="K25" s="11"/>
      <x:c r="L25" s="11"/>
    </x:row>
    <x:row r="26" ht="20" customHeight="1">
      <x:c r="A26" s="107" t="n">
        <x:f>IF('孔深校正及弯曲度'!A17="","",'孔深校正及弯曲度'!A17)</x:f>
        <x:v>10</x:v>
      </x:c>
      <x:c r="B26" s="107" t="n">
        <x:f>IF('孔深校正及弯曲度'!B17="","",'孔深校正及弯曲度'!B17)</x:f>
        <x:v>150</x:v>
      </x:c>
      <x:c r="C26" s="107" t="n">
        <x:f>IF('孔深校正及弯曲度'!C17="","",'孔深校正及弯曲度'!C17)</x:f>
        <x:v>150.024</x:v>
      </x:c>
      <x:c r="D26" s="107" t="n">
        <x:f>IF('孔深校正及弯曲度'!D17="","",'孔深校正及弯曲度'!D17)</x:f>
        <x:v>0.024</x:v>
      </x:c>
      <x:c r="E26" s="107" t="n">
        <x:f>IF('孔深校正及弯曲度'!E17="","",'孔深校正及弯曲度'!E17)</x:f>
        <x:v>0.016</x:v>
      </x:c>
      <x:c r="F26" s="107" t="n">
        <x:f>IF('孔深校正及弯曲度'!F17="","",'孔深校正及弯曲度'!F17)</x:f>
        <x:v>150</x:v>
      </x:c>
      <x:c r="G26" s="107" t="n">
        <x:f>IF('孔深校正及弯曲度'!G17="","",'孔深校正及弯曲度'!G17)</x:f>
        <x:v>16.5</x:v>
      </x:c>
      <x:c r="H26" s="107" t="n">
        <x:f>IF('孔深校正及弯曲度'!H17="","",'孔深校正及弯曲度'!H17)</x:f>
        <x:v>94.99</x:v>
      </x:c>
      <x:c r="I26" s="107" t="str">
        <x:f>IF('孔深校正及弯曲度'!I17="","",'孔深校正及弯曲度'!I17)</x:f>
        <x:v>模拟定点测量</x:v>
      </x:c>
      <x:c r="J26" s="107" t="str">
        <x:f>IF('孔深校正及弯曲度'!J17="","",'孔深校正及弯曲度'!J17)</x:f>
        <x:v>SIM-测斜仪-01</x:v>
      </x:c>
      <x:c r="K26" s="11"/>
      <x:c r="L26" s="11"/>
    </x:row>
    <x:row r="27" ht="20" customHeight="1">
      <x:c r="A27" s="107" t="n">
        <x:f>IF('孔深校正及弯曲度'!A18="","",'孔深校正及弯曲度'!A18)</x:f>
        <x:v>11</x:v>
      </x:c>
      <x:c r="B27" s="107" t="n">
        <x:f>IF('孔深校正及弯曲度'!B18="","",'孔深校正及弯曲度'!B18)</x:f>
        <x:v>165</x:v>
      </x:c>
      <x:c r="C27" s="107" t="n">
        <x:f>IF('孔深校正及弯曲度'!C18="","",'孔深校正及弯曲度'!C18)</x:f>
        <x:v>165.03</x:v>
      </x:c>
      <x:c r="D27" s="107" t="n">
        <x:f>IF('孔深校正及弯曲度'!D18="","",'孔深校正及弯曲度'!D18)</x:f>
        <x:v>0.03</x:v>
      </x:c>
      <x:c r="E27" s="107" t="n">
        <x:f>IF('孔深校正及弯曲度'!E18="","",'孔深校正及弯曲度'!E18)</x:f>
        <x:v>0.0182</x:v>
      </x:c>
      <x:c r="F27" s="107" t="n">
        <x:f>IF('孔深校正及弯曲度'!F18="","",'孔深校正及弯曲度'!F18)</x:f>
        <x:v>165</x:v>
      </x:c>
      <x:c r="G27" s="107" t="n">
        <x:f>IF('孔深校正及弯曲度'!G18="","",'孔深校正及弯曲度'!G18)</x:f>
        <x:v>16.65</x:v>
      </x:c>
      <x:c r="H27" s="107" t="n">
        <x:f>IF('孔深校正及弯曲度'!H18="","",'孔深校正及弯曲度'!H18)</x:f>
        <x:v>94.44</x:v>
      </x:c>
      <x:c r="I27" s="107" t="str">
        <x:f>IF('孔深校正及弯曲度'!I18="","",'孔深校正及弯曲度'!I18)</x:f>
        <x:v>模拟定点测量</x:v>
      </x:c>
      <x:c r="J27" s="107" t="str">
        <x:f>IF('孔深校正及弯曲度'!J18="","",'孔深校正及弯曲度'!J18)</x:f>
        <x:v>SIM-测斜仪-01</x:v>
      </x:c>
      <x:c r="K27" s="11"/>
      <x:c r="L27" s="11"/>
    </x:row>
    <x:row r="28" ht="20" customHeight="1">
      <x:c r="A28" s="107" t="n">
        <x:f>IF('孔深校正及弯曲度'!A19="","",'孔深校正及弯曲度'!A19)</x:f>
        <x:v>12</x:v>
      </x:c>
      <x:c r="B28" s="107" t="n">
        <x:f>IF('孔深校正及弯曲度'!B19="","",'孔深校正及弯曲度'!B19)</x:f>
        <x:v>180</x:v>
      </x:c>
      <x:c r="C28" s="107" t="n">
        <x:f>IF('孔深校正及弯曲度'!C19="","",'孔深校正及弯曲度'!C19)</x:f>
        <x:v>180.018</x:v>
      </x:c>
      <x:c r="D28" s="107" t="n">
        <x:f>IF('孔深校正及弯曲度'!D19="","",'孔深校正及弯曲度'!D19)</x:f>
        <x:v>0.018</x:v>
      </x:c>
      <x:c r="E28" s="107" t="n">
        <x:f>IF('孔深校正及弯曲度'!E19="","",'孔深校正及弯曲度'!E19)</x:f>
        <x:v>0.01</x:v>
      </x:c>
      <x:c r="F28" s="107" t="n">
        <x:f>IF('孔深校正及弯曲度'!F19="","",'孔深校正及弯曲度'!F19)</x:f>
        <x:v>180</x:v>
      </x:c>
      <x:c r="G28" s="107" t="n">
        <x:f>IF('孔深校正及弯曲度'!G19="","",'孔深校正及弯曲度'!G19)</x:f>
        <x:v>16.8</x:v>
      </x:c>
      <x:c r="H28" s="107" t="n">
        <x:f>IF('孔深校正及弯曲度'!H19="","",'孔深校正及弯曲度'!H19)</x:f>
        <x:v>93.96</x:v>
      </x:c>
      <x:c r="I28" s="107" t="str">
        <x:f>IF('孔深校正及弯曲度'!I19="","",'孔深校正及弯曲度'!I19)</x:f>
        <x:v>模拟定点测量</x:v>
      </x:c>
      <x:c r="J28" s="107" t="str">
        <x:f>IF('孔深校正及弯曲度'!J19="","",'孔深校正及弯曲度'!J19)</x:f>
        <x:v>SIM-测斜仪-01</x:v>
      </x:c>
      <x:c r="K28" s="11"/>
      <x:c r="L28" s="11"/>
    </x:row>
    <x:row r="29" ht="20" customHeight="1">
      <x:c r="A29" s="107" t="n">
        <x:f>IF('孔深校正及弯曲度'!A20="","",'孔深校正及弯曲度'!A20)</x:f>
        <x:v>13</x:v>
      </x:c>
      <x:c r="B29" s="107" t="n">
        <x:f>IF('孔深校正及弯曲度'!B20="","",'孔深校正及弯曲度'!B20)</x:f>
        <x:v>195</x:v>
      </x:c>
      <x:c r="C29" s="107" t="n">
        <x:f>IF('孔深校正及弯曲度'!C20="","",'孔深校正及弯曲度'!C20)</x:f>
        <x:v>194.995</x:v>
      </x:c>
      <x:c r="D29" s="107" t="n">
        <x:f>IF('孔深校正及弯曲度'!D20="","",'孔深校正及弯曲度'!D20)</x:f>
        <x:v>-0.005</x:v>
      </x:c>
      <x:c r="E29" s="107" t="n">
        <x:f>IF('孔深校正及弯曲度'!E20="","",'孔深校正及弯曲度'!E20)</x:f>
        <x:v>-0.0026</x:v>
      </x:c>
      <x:c r="F29" s="107" t="n">
        <x:f>IF('孔深校正及弯曲度'!F20="","",'孔深校正及弯曲度'!F20)</x:f>
        <x:v>195</x:v>
      </x:c>
      <x:c r="G29" s="107" t="n">
        <x:f>IF('孔深校正及弯曲度'!G20="","",'孔深校正及弯曲度'!G20)</x:f>
        <x:v>16.95</x:v>
      </x:c>
      <x:c r="H29" s="107" t="n">
        <x:f>IF('孔深校正及弯曲度'!H20="","",'孔深校正及弯曲度'!H20)</x:f>
        <x:v>93.61</x:v>
      </x:c>
      <x:c r="I29" s="107" t="str">
        <x:f>IF('孔深校正及弯曲度'!I20="","",'孔深校正及弯曲度'!I20)</x:f>
        <x:v>模拟定点测量</x:v>
      </x:c>
      <x:c r="J29" s="107" t="str">
        <x:f>IF('孔深校正及弯曲度'!J20="","",'孔深校正及弯曲度'!J20)</x:f>
        <x:v>SIM-测斜仪-01</x:v>
      </x:c>
      <x:c r="K29" s="11"/>
      <x:c r="L29" s="11"/>
    </x:row>
    <x:row r="30" ht="20" customHeight="1">
      <x:c r="A30" s="107" t="n">
        <x:f>IF('孔深校正及弯曲度'!A21="","",'孔深校正及弯曲度'!A21)</x:f>
        <x:v>14</x:v>
      </x:c>
      <x:c r="B30" s="107" t="n">
        <x:f>IF('孔深校正及弯曲度'!B21="","",'孔深校正及弯曲度'!B21)</x:f>
        <x:v>210</x:v>
      </x:c>
      <x:c r="C30" s="107" t="n">
        <x:f>IF('孔深校正及弯曲度'!C21="","",'孔深校正及弯曲度'!C21)</x:f>
        <x:v>209.975</x:v>
      </x:c>
      <x:c r="D30" s="107" t="n">
        <x:f>IF('孔深校正及弯曲度'!D21="","",'孔深校正及弯曲度'!D21)</x:f>
        <x:v>-0.025</x:v>
      </x:c>
      <x:c r="E30" s="107" t="n">
        <x:f>IF('孔深校正及弯曲度'!E21="","",'孔深校正及弯曲度'!E21)</x:f>
        <x:v>-0.0119</x:v>
      </x:c>
      <x:c r="F30" s="107" t="n">
        <x:f>IF('孔深校正及弯曲度'!F21="","",'孔深校正及弯曲度'!F21)</x:f>
        <x:v>210</x:v>
      </x:c>
      <x:c r="G30" s="107" t="n">
        <x:f>IF('孔深校正及弯曲度'!G21="","",'孔深校正及弯曲度'!G21)</x:f>
        <x:v>17.1</x:v>
      </x:c>
      <x:c r="H30" s="107" t="n">
        <x:f>IF('孔深校正及弯曲度'!H21="","",'孔深校正及弯曲度'!H21)</x:f>
        <x:v>93.42</x:v>
      </x:c>
      <x:c r="I30" s="107" t="str">
        <x:f>IF('孔深校正及弯曲度'!I21="","",'孔深校正及弯曲度'!I21)</x:f>
        <x:v>模拟定点测量</x:v>
      </x:c>
      <x:c r="J30" s="107" t="str">
        <x:f>IF('孔深校正及弯曲度'!J21="","",'孔深校正及弯曲度'!J21)</x:f>
        <x:v>SIM-测斜仪-01</x:v>
      </x:c>
      <x:c r="K30" s="11"/>
      <x:c r="L30" s="11"/>
    </x:row>
    <x:row r="31" ht="20" customHeight="1">
      <x:c r="A31" s="107" t="n">
        <x:f>IF('孔深校正及弯曲度'!A22="","",'孔深校正及弯曲度'!A22)</x:f>
        <x:v>15</x:v>
      </x:c>
      <x:c r="B31" s="107" t="n">
        <x:f>IF('孔深校正及弯曲度'!B22="","",'孔深校正及弯曲度'!B22)</x:f>
        <x:v>225</x:v>
      </x:c>
      <x:c r="C31" s="107" t="n">
        <x:f>IF('孔深校正及弯曲度'!C22="","",'孔深校正及弯曲度'!C22)</x:f>
        <x:v>224.971</x:v>
      </x:c>
      <x:c r="D31" s="107" t="n">
        <x:f>IF('孔深校正及弯曲度'!D22="","",'孔深校正及弯曲度'!D22)</x:f>
        <x:v>-0.029</x:v>
      </x:c>
      <x:c r="E31" s="107" t="n">
        <x:f>IF('孔深校正及弯曲度'!E22="","",'孔深校正及弯曲度'!E22)</x:f>
        <x:v>-0.0129</x:v>
      </x:c>
      <x:c r="F31" s="107" t="n">
        <x:f>IF('孔深校正及弯曲度'!F22="","",'孔深校正及弯曲度'!F22)</x:f>
        <x:v>225</x:v>
      </x:c>
      <x:c r="G31" s="107" t="n">
        <x:f>IF('孔深校正及弯曲度'!G22="","",'孔深校正及弯曲度'!G22)</x:f>
        <x:v>17.25</x:v>
      </x:c>
      <x:c r="H31" s="107" t="n">
        <x:f>IF('孔深校正及弯曲度'!H22="","",'孔深校正及弯曲度'!H22)</x:f>
        <x:v>93.43</x:v>
      </x:c>
      <x:c r="I31" s="107" t="str">
        <x:f>IF('孔深校正及弯曲度'!I22="","",'孔深校正及弯曲度'!I22)</x:f>
        <x:v>模拟定点测量</x:v>
      </x:c>
      <x:c r="J31" s="107" t="str">
        <x:f>IF('孔深校正及弯曲度'!J22="","",'孔深校正及弯曲度'!J22)</x:f>
        <x:v>SIM-测斜仪-01</x:v>
      </x:c>
      <x:c r="K31" s="11"/>
      <x:c r="L31" s="11"/>
    </x:row>
    <x:row r="32" ht="20" customHeight="1">
      <x:c r="A32" s="107" t="n">
        <x:f>IF('孔深校正及弯曲度'!A23="","",'孔深校正及弯曲度'!A23)</x:f>
        <x:v>16</x:v>
      </x:c>
      <x:c r="B32" s="107" t="n">
        <x:f>IF('孔深校正及弯曲度'!B23="","",'孔深校正及弯曲度'!B23)</x:f>
        <x:v>300</x:v>
      </x:c>
      <x:c r="C32" s="107" t="n">
        <x:f>IF('孔深校正及弯曲度'!C23="","",'孔深校正及弯曲度'!C23)</x:f>
        <x:v>299.984</x:v>
      </x:c>
      <x:c r="D32" s="107" t="n">
        <x:f>IF('孔深校正及弯曲度'!D23="","",'孔深校正及弯曲度'!D23)</x:f>
        <x:v>-0.016</x:v>
      </x:c>
      <x:c r="E32" s="107" t="n">
        <x:f>IF('孔深校正及弯曲度'!E23="","",'孔深校正及弯曲度'!E23)</x:f>
        <x:v>-0.0053</x:v>
      </x:c>
      <x:c r="F32" s="107" t="n">
        <x:f>IF('孔深校正及弯曲度'!F23="","",'孔深校正及弯曲度'!F23)</x:f>
        <x:v>300</x:v>
      </x:c>
      <x:c r="G32" s="107" t="n">
        <x:f>IF('孔深校正及弯曲度'!G23="","",'孔深校正及弯曲度'!G23)</x:f>
        <x:v>18</x:v>
      </x:c>
      <x:c r="H32" s="107" t="n">
        <x:f>IF('孔深校正及弯曲度'!H23="","",'孔深校正及弯曲度'!H23)</x:f>
        <x:v>93.63</x:v>
      </x:c>
      <x:c r="I32" s="107" t="str">
        <x:f>IF('孔深校正及弯曲度'!I23="","",'孔深校正及弯曲度'!I23)</x:f>
        <x:v>模拟定点测量</x:v>
      </x:c>
      <x:c r="J32" s="107" t="str">
        <x:f>IF('孔深校正及弯曲度'!J23="","",'孔深校正及弯曲度'!J23)</x:f>
        <x:v>SIM-测斜仪-01</x:v>
      </x:c>
      <x:c r="K32" s="11"/>
      <x:c r="L32" s="11"/>
    </x:row>
    <x:row r="33" ht="20" customHeight="1">
      <x:c r="A33" s="107" t="str">
        <x:f>IF('孔深校正及弯曲度'!A24="","",'孔深校正及弯曲度'!A24)</x:f>
      </x:c>
      <x:c r="B33" s="107" t="str">
        <x:f>IF('孔深校正及弯曲度'!B24="","",'孔深校正及弯曲度'!B24)</x:f>
      </x:c>
      <x:c r="C33" s="107" t="str">
        <x:f>IF('孔深校正及弯曲度'!C24="","",'孔深校正及弯曲度'!C24)</x:f>
      </x:c>
      <x:c r="D33" s="107" t="str">
        <x:f>IF('孔深校正及弯曲度'!D24="","",'孔深校正及弯曲度'!D24)</x:f>
      </x:c>
      <x:c r="E33" s="107" t="str">
        <x:f>IF('孔深校正及弯曲度'!E24="","",'孔深校正及弯曲度'!E24)</x:f>
      </x:c>
      <x:c r="F33" s="107" t="str">
        <x:f>IF('孔深校正及弯曲度'!F24="","",'孔深校正及弯曲度'!F24)</x:f>
      </x:c>
      <x:c r="G33" s="107" t="str">
        <x:f>IF('孔深校正及弯曲度'!G24="","",'孔深校正及弯曲度'!G24)</x:f>
      </x:c>
      <x:c r="H33" s="107" t="str">
        <x:f>IF('孔深校正及弯曲度'!H24="","",'孔深校正及弯曲度'!H24)</x:f>
      </x:c>
      <x:c r="I33" s="107" t="str">
        <x:f>IF('孔深校正及弯曲度'!I24="","",'孔深校正及弯曲度'!I24)</x:f>
      </x:c>
      <x:c r="J33" s="107" t="str">
        <x:f>IF('孔深校正及弯曲度'!J24="","",'孔深校正及弯曲度'!J24)</x:f>
      </x:c>
      <x:c r="K33" s="11"/>
      <x:c r="L33" s="11"/>
    </x:row>
    <x:row r="34" ht="20" customHeight="1">
      <x:c r="A34" s="108" t="str">
        <x:f>IF('孔深校正及弯曲度'!A25="","",'孔深校正及弯曲度'!A25)</x:f>
      </x:c>
      <x:c r="B34" s="108" t="str">
        <x:f>IF('孔深校正及弯曲度'!B25="","",'孔深校正及弯曲度'!B25)</x:f>
      </x:c>
      <x:c r="C34" s="108" t="str">
        <x:f>IF('孔深校正及弯曲度'!C25="","",'孔深校正及弯曲度'!C25)</x:f>
      </x:c>
      <x:c r="D34" s="108" t="str">
        <x:f>IF('孔深校正及弯曲度'!D25="","",'孔深校正及弯曲度'!D25)</x:f>
      </x:c>
      <x:c r="E34" s="108" t="str">
        <x:f>IF('孔深校正及弯曲度'!E25="","",'孔深校正及弯曲度'!E25)</x:f>
      </x:c>
      <x:c r="F34" s="108" t="str">
        <x:f>IF('孔深校正及弯曲度'!F25="","",'孔深校正及弯曲度'!F25)</x:f>
      </x:c>
      <x:c r="G34" s="108" t="str">
        <x:f>IF('孔深校正及弯曲度'!G25="","",'孔深校正及弯曲度'!G25)</x:f>
      </x:c>
      <x:c r="H34" s="108" t="str">
        <x:f>IF('孔深校正及弯曲度'!H25="","",'孔深校正及弯曲度'!H25)</x:f>
      </x:c>
      <x:c r="I34" s="108" t="str">
        <x:f>IF('孔深校正及弯曲度'!I25="","",'孔深校正及弯曲度'!I25)</x:f>
      </x:c>
      <x:c r="J34" s="108" t="str">
        <x:f>IF('孔深校正及弯曲度'!J25="","",'孔深校正及弯曲度'!J25)</x:f>
      </x:c>
      <x:c r="K34" s="11"/>
      <x:c r="L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</x:row>
    <x:row r="36" ht="23" customHeight="1">
      <x:c r="A36" s="110" t="str">
        <x:v>项目/单位</x:v>
      </x:c>
      <x:c r="B36" s="111"/>
      <x:c r="C36" s="112" t="str">
        <x:f>IF('图签'!B4="","",'图签'!B4)</x:f>
        <x:v>山兔模拟地质项目组（虚构）</x:v>
      </x:c>
      <x:c r="D36" s="113"/>
      <x:c r="E36" s="113"/>
      <x:c r="F36" s="113"/>
      <x:c r="G36" s="113"/>
      <x:c r="H36" s="113"/>
      <x:c r="I36" s="113"/>
      <x:c r="J36" s="113"/>
      <x:c r="K36" s="113"/>
      <x:c r="L36" s="114"/>
    </x:row>
    <x:row r="37" ht="23" customHeight="1">
      <x:c r="A37" s="110" t="str">
        <x:v>图名</x:v>
      </x:c>
      <x:c r="B37" s="111"/>
      <x:c r="C37" s="112" t="str">
        <x:f>IF('图签'!B5="","",'图签'!B5)</x:f>
        <x:v>300米钻孔柱状图（全量模拟）</x:v>
      </x:c>
      <x:c r="D37" s="113"/>
      <x:c r="E37" s="113"/>
      <x:c r="F37" s="113"/>
      <x:c r="G37" s="113"/>
      <x:c r="H37" s="113"/>
      <x:c r="I37" s="113"/>
      <x:c r="J37" s="113"/>
      <x:c r="K37" s="113"/>
      <x:c r="L37" s="114"/>
    </x:row>
    <x:row r="38" ht="23" customHeight="1">
      <x:c r="A38" s="110" t="str">
        <x:v>拟编</x:v>
      </x:c>
      <x:c r="B38" s="111"/>
      <x:c r="C38" s="24" t="str">
        <x:f>IF('图签'!B6="","",'图签'!B6)</x:f>
        <x:v>模拟编录员甲</x:v>
      </x:c>
      <x:c r="D38" s="110" t="str">
        <x:v>审核</x:v>
      </x:c>
      <x:c r="E38" s="111"/>
      <x:c r="F38" s="24" t="str">
        <x:f>IF('图签'!D6="","",'图签'!D6)</x:f>
        <x:v>模拟审核员乙</x:v>
      </x:c>
      <x:c r="G38" s="110" t="str">
        <x:v>制图</x:v>
      </x:c>
      <x:c r="H38" s="111"/>
      <x:c r="I38" s="24" t="str">
        <x:f>IF('图签'!B7="","",'图签'!B7)</x:f>
        <x:v>模拟制图员丙</x:v>
      </x:c>
      <x:c r="J38" s="110" t="str">
        <x:v>项目负责</x:v>
      </x:c>
      <x:c r="K38" s="111"/>
      <x:c r="L38" s="24" t="str">
        <x:f>IF('图签'!D7="","",'图签'!D7)</x:f>
        <x:v>模拟负责人丁</x:v>
      </x:c>
    </x:row>
    <x:row r="39" ht="23" customHeight="1">
      <x:c r="A39" s="110" t="str">
        <x:v>单位负责</x:v>
      </x:c>
      <x:c r="B39" s="111"/>
      <x:c r="C39" s="24" t="str">
        <x:f>IF('图签'!B8="","",'图签'!B8)</x:f>
        <x:v>模拟负责人戊</x:v>
      </x:c>
      <x:c r="D39" s="110" t="str">
        <x:v>图号</x:v>
      </x:c>
      <x:c r="E39" s="111"/>
      <x:c r="F39" s="24" t="str">
        <x:f>IF('图签'!D8="","",'图签'!D8)</x:f>
        <x:v>SIM-FIG-001</x:v>
      </x:c>
      <x:c r="G39" s="110" t="str">
        <x:v>顺序号</x:v>
      </x:c>
      <x:c r="H39" s="111"/>
      <x:c r="I39" s="24" t="n">
        <x:f>IF('图签'!B9="","",'图签'!B9)</x:f>
        <x:v>1</x:v>
      </x:c>
      <x:c r="J39" s="110" t="str">
        <x:v>比例尺分母</x:v>
      </x:c>
      <x:c r="K39" s="111"/>
      <x:c r="L39" s="24" t="n">
        <x:f>IF('图签'!D9="","",'图签'!D9)</x:f>
        <x:v>100</x:v>
      </x:c>
    </x:row>
    <x:row r="40" ht="23" customHeight="1">
      <x:c r="A40" s="110" t="str">
        <x:v>日期</x:v>
      </x:c>
      <x:c r="B40" s="111"/>
      <x:c r="C40" s="128" t="n">
        <x:f>IF('图签'!B10="","",'图签'!B10)</x:f>
        <x:v>46304</x:v>
      </x:c>
      <x:c r="D40" s="113"/>
      <x:c r="E40" s="113"/>
      <x:c r="F40" s="114"/>
      <x:c r="G40" s="110" t="str">
        <x:v>资料来源</x:v>
      </x:c>
      <x:c r="H40" s="111"/>
      <x:c r="I40" s="112" t="str">
        <x:f>IF('图签'!D10="","",'图签'!D10)</x:f>
        <x:v>人工模拟资料</x:v>
      </x:c>
      <x:c r="J40" s="113"/>
      <x:c r="K40" s="113"/>
      <x:c r="L40" s="114"/>
    </x:row>
  </x:sheetData>
  <x:mergeCells>
    <x:mergeCell ref="A1:L1"/>
    <x:mergeCell ref="A2:L2"/>
    <x:mergeCell ref="A6:L6"/>
    <x:mergeCell ref="A7:L13"/>
    <x:mergeCell ref="A15:J15"/>
    <x:mergeCell ref="A36:B36"/>
    <x:mergeCell ref="A37:B37"/>
    <x:mergeCell ref="A38:B38"/>
    <x:mergeCell ref="D38:E38"/>
    <x:mergeCell ref="G38:H38"/>
    <x:mergeCell ref="J38:K38"/>
    <x:mergeCell ref="A39:B39"/>
    <x:mergeCell ref="D39:E39"/>
    <x:mergeCell ref="G39:H39"/>
    <x:mergeCell ref="J39:K39"/>
    <x:mergeCell ref="A40:B40"/>
    <x:mergeCell ref="G40:H40"/>
    <x:mergeCell ref="C36:L36"/>
    <x:mergeCell ref="C37:L37"/>
    <x:mergeCell ref="C40:F40"/>
    <x:mergeCell ref="I40:L4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0" hidden="0" customWidth="1"/>
    <x:col min="3" max="3" width="28" hidden="0" customWidth="1"/>
    <x:col min="4" max="4" width="90" hidden="0" customWidth="1"/>
  </x:cols>
  <x:sheetData>
    <x:row r="1" ht="24" customHeight="1">
      <x:c r="A1" s="3" t="str">
        <x:v>填写说明与限制</x:v>
      </x:c>
      <x:c r="B1" s="3"/>
      <x:c r="C1" s="3"/>
      <x:c r="D1" s="3"/>
    </x:row>
    <x:row r="2" ht="32" customHeight="1">
      <x:c r="A2" s="6" t="str">
        <x:v>本模板作为山兔整合钻孔图输入；先填白色数据区，生成图件后核对来源与沿孔深。原始数据须另存备份。</x:v>
      </x:c>
      <x:c r="B2" s="6"/>
      <x:c r="C2" s="6"/>
      <x:c r="D2" s="6"/>
    </x:row>
    <x:row r="3">
      <x:c r="A3" s="11"/>
      <x:c r="B3" s="11"/>
      <x:c r="C3" s="11"/>
      <x:c r="D3" s="11"/>
    </x:row>
    <x:row r="4" ht="54" customHeight="1">
      <x:c r="A4" s="129" t="str">
        <x:v>1</x:v>
      </x:c>
      <x:c r="B4" s="132" t="str">
        <x:v>本工作簿为300米完整模拟示例，用于验证模板扩展、公式统计、测试结果长表和图面链接；项目、人员、坐标和检测值均为虚构，不代表实测资料。</x:v>
      </x:c>
      <x:c r="C4" s="11"/>
      <x:c r="D4" s="11"/>
    </x:row>
    <x:row r="5" ht="54" customHeight="1">
      <x:c r="A5" s="130" t="str">
        <x:v>2</x:v>
      </x:c>
      <x:c r="B5" s="133" t="str">
        <x:v>由 full-simulation-data.json 写入固定模拟数据；公式列按记录数扩展并复算，汇总范围覆盖实际末行。日期使用Excel日期序列并按yyyy-mm-dd显示。</x:v>
      </x:c>
      <x:c r="C5" s="11"/>
      <x:c r="D5" s="11"/>
    </x:row>
    <x:row r="6" ht="54" customHeight="1">
      <x:c r="A6" s="130" t="str">
        <x:v>3</x:v>
      </x:c>
      <x:c r="B6" s="133" t="str">
        <x:v>采取率由长度直接计算；输入进尺为空或为零时结果留空并核对。深度记录和分析结果按原值保留，低于检出限、未检出及数值零值保持各自原文与数值语义。</x:v>
      </x:c>
      <x:c r="C6" s="11"/>
      <x:c r="D6" s="11"/>
    </x:row>
    <x:row r="7" ht="54" customHeight="1">
      <x:c r="A7" s="130" t="str">
        <x:v>4</x:v>
      </x:c>
      <x:c r="B7" s="133" t="str">
        <x:v>全量数据由固定三角函数及三段高斯形状生成；无随机种子和真实项目来源。</x:v>
      </x:c>
      <x:c r="C7" s="11"/>
      <x:c r="D7" s="11"/>
    </x:row>
    <x:row r="8" ht="54" customHeight="1">
      <x:c r="A8" s="130" t="str">
        <x:v>5</x:v>
      </x:c>
      <x:c r="B8" s="133" t="str">
        <x:v>回次每3m、原始分层每10m；岩心按回次交叠比例分配到层与样品。</x:v>
      </x:c>
      <x:c r="C8" s="11"/>
      <x:c r="D8" s="11"/>
    </x:row>
    <x:row r="9" ht="54" customHeight="1">
      <x:c r="A9" s="130" t="str">
        <x:v>6</x:v>
      </x:c>
      <x:c r="B9" s="133" t="str">
        <x:v>样品120个，区间从18m起每2.2m布置一个2m样段；间隙为模拟未采段。</x:v>
      </x:c>
      <x:c r="C9" s="11"/>
      <x:c r="D9" s="11"/>
    </x:row>
    <x:row r="10" ht="54" customHeight="1">
      <x:c r="A10" s="130" t="str">
        <x:v>7</x:v>
      </x:c>
      <x:c r="B10" s="133" t="str">
        <x:v>测试趋势在75m、170m、250m附近人为设置；不用于资源估算或品位判定。</x:v>
      </x:c>
      <x:c r="C10" s="11"/>
      <x:c r="D10" s="11"/>
    </x:row>
    <x:row r="11" ht="54" customHeight="1">
      <x:c r="A11" s="130" t="str">
        <x:v>8</x:v>
      </x:c>
      <x:c r="B11" s="133" t="str">
        <x:v>孔深误差=校测-记录，误差率=误差/记录×100；模拟超差口径为绝对误差&gt;0.05m，16条均未超差。</x:v>
      </x:c>
      <x:c r="C11" s="11"/>
      <x:c r="D11" s="11"/>
    </x:row>
    <x:row r="12" ht="54" customHeight="1">
      <x:c r="A12" s="130" t="str">
        <x:v>9</x:v>
      </x:c>
      <x:c r="B12" s="133" t="str">
        <x:v>分层真厚度为模拟输入：层段长×cos(轴夹角)，仅用于字段展示，不校正主图几何。</x:v>
      </x:c>
      <x:c r="C12" s="11"/>
      <x:c r="D12" s="11"/>
    </x:row>
    <x:row r="13" ht="54" customHeight="1">
      <x:c r="A13" s="130" t="str">
        <x:v>10</x:v>
      </x:c>
      <x:c r="B13" s="133" t="str">
        <x:v>倾角从水平向下为负，天顶角从向下铅垂线计；方位以模拟北为0顺时针。</x:v>
      </x:c>
      <x:c r="C13" s="11"/>
      <x:c r="D13" s="11"/>
    </x:row>
    <x:row r="14" ht="54" customHeight="1">
      <x:c r="A14" s="130" t="str">
        <x:v>11</x:v>
      </x:c>
      <x:c r="B14" s="133" t="str">
        <x:v>标志面、孔径结构记录、简易水文和压缩米数本模拟均为0；未命名来源列不臆造业务含义。</x:v>
      </x:c>
      <x:c r="C14" s="11"/>
      <x:c r="D14" s="11"/>
    </x:row>
    <x:row r="15" ht="54" customHeight="1">
      <x:c r="A15" s="131" t="str">
        <x:v>12</x:v>
      </x:c>
      <x:c r="B15" s="134" t="str">
        <x:v>采取率自动计算：回次=处理后岩心长/回次进尺；分层=分层岩心长/分层进尺；采样=样品岩心长/样段进尺，均乘100，缺数或非正进尺留空。</x:v>
      </x:c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</x:sheetData>
  <x:mergeCells>
    <x:mergeCell ref="A1:D1"/>
    <x:mergeCell ref="A2:D2"/>
  </x:mergeCells>
  <x:pageMargins left="0.7" right="0.7" top="0.75" bottom="0.75" header="0.3" footer="0.3"/>
</x:worksheet>
</file>