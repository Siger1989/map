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ed2b74481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dcf658a7d6664dd4"/>
    <x:sheet xmlns:r="http://schemas.openxmlformats.org/officeDocument/2006/relationships" name="测段" sheetId="2" r:id="R8d50dbf932414546"/>
    <x:sheet xmlns:r="http://schemas.openxmlformats.org/officeDocument/2006/relationships" name="说明" sheetId="3" r:id="R4ada6bf1cc42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E8F1FA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FFFFFF"/>
      </x:right>
      <x:top style="thin">
        <x:color rgb="FF94A3B8"/>
      </x:top>
      <x:bottom style="thin">
        <x:color rgb="FFFFFFFF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thin">
        <x:color rgb="FFFFFFFF"/>
      </x:bottom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e1f91dd8f426b" /><Relationship Type="http://schemas.openxmlformats.org/officeDocument/2006/relationships/theme" Target="/xl/theme/theme1.xml" Id="R1aca79c5a7b14138" /><Relationship Type="http://schemas.openxmlformats.org/officeDocument/2006/relationships/sharedStrings" Target="/xl/sharedStrings.xml" Id="R6cb6571befac4e8d" /><Relationship Type="http://schemas.openxmlformats.org/officeDocument/2006/relationships/worksheet" Target="/xl/worksheets/sheet1.xml" Id="Rdcf658a7d6664dd4" /><Relationship Type="http://schemas.openxmlformats.org/officeDocument/2006/relationships/worksheet" Target="/xl/worksheets/sheet2.xml" Id="R8d50dbf932414546" /><Relationship Type="http://schemas.openxmlformats.org/officeDocument/2006/relationships/worksheet" Target="/xl/worksheets/sheet3.xml" Id="R4ada6bf1cc42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8" hidden="0" customWidth="1"/>
  </x:cols>
  <x:sheetData>
    <x:row r="1" ht="23" customHeight="1">
      <x:c r="A1" s="12" t="str">
        <x:v>参数</x:v>
      </x:c>
      <x:c r="B1" s="13" t="str">
        <x:v>值</x:v>
      </x:c>
    </x:row>
    <x:row r="2" ht="23" customHeight="1">
      <x:c r="A2" s="14" t="str">
        <x:v>项目名称</x:v>
      </x:c>
      <x:c r="B2" s="15" t="str">
        <x:v>兴仁市王家寨金矿调查区</x:v>
      </x:c>
    </x:row>
    <x:row r="3" ht="23" customHeight="1">
      <x:c r="A3" s="14" t="str">
        <x:v>剖面编号</x:v>
      </x:c>
      <x:c r="B3" s="15" t="str">
        <x:v>PM01</x:v>
      </x:c>
    </x:row>
    <x:row r="4" ht="23" customHeight="1">
      <x:c r="A4" s="14" t="str">
        <x:v>剖面方位角_deg</x:v>
      </x:c>
      <x:c r="B4" s="19" t="n">
        <x:v>83.50058502519266</x:v>
      </x:c>
    </x:row>
    <x:row r="5" ht="23" customHeight="1">
      <x:c r="A5" s="14" t="str">
        <x:v>长度单位</x:v>
      </x:c>
      <x:c r="B5" s="16" t="str">
        <x:v>m</x:v>
      </x:c>
    </x:row>
    <x:row r="6" ht="23" customHeight="1">
      <x:c r="A6" s="17" t="str">
        <x:v>角度单位</x:v>
      </x:c>
      <x:c r="B6" s="18" t="str">
        <x:v>deg</x:v>
      </x:c>
    </x:row>
  </x:sheetData>
  <x:dataValidations count="3">
    <x:dataValidation type="decimal" operator="between" sqref="B4">
      <x:formula1>0</x:formula1>
      <x:formula2>359.999999</x:formula2>
    </x:dataValidation>
    <x:dataValidation type="list" sqref="B5">
      <x:formula1>"m"</x:formula1>
    </x:dataValidation>
    <x:dataValidation type="list" sqref="B6">
      <x:formula1>"deg"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38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42" customHeight="1">
      <x:c r="A1" s="6" t="str">
        <x:v>记录号</x:v>
      </x:c>
      <x:c r="B1" s="6" t="str">
        <x:v>导线段号</x:v>
      </x:c>
      <x:c r="C1" s="6" t="str">
        <x:v>层号</x:v>
      </x:c>
      <x:c r="D1" s="6" t="str">
        <x:v>起读数_m</x:v>
      </x:c>
      <x:c r="E1" s="6" t="str">
        <x:v>止读数_m</x:v>
      </x:c>
      <x:c r="F1" s="6" t="str">
        <x:v>斜距_m</x:v>
      </x:c>
      <x:c r="G1" s="6" t="str">
        <x:v>坡角_deg</x:v>
      </x:c>
      <x:c r="H1" s="6" t="str">
        <x:v>方位角_deg</x:v>
      </x:c>
      <x:c r="I1" s="6" t="str">
        <x:v>倾向_deg</x:v>
      </x:c>
      <x:c r="J1" s="6" t="str">
        <x:v>倾角_deg</x:v>
      </x:c>
      <x:c r="K1" s="6" t="str">
        <x:v>岩性名称</x:v>
      </x:c>
      <x:c r="L1" s="6" t="str">
        <x:v>岩性描述</x:v>
      </x:c>
      <x:c r="M1" s="6" t="str">
        <x:v>样品编号</x:v>
      </x:c>
      <x:c r="N1" s="6" t="str">
        <x:v>样品距测段起点_m</x:v>
      </x:c>
      <x:c r="O1" s="6" t="str">
        <x:v>原表平距_m</x:v>
      </x:c>
      <x:c r="P1" s="6" t="str">
        <x:v>原表高差_m</x:v>
      </x:c>
      <x:c r="Q1" s="6" t="str">
        <x:v>原表累计高差_m</x:v>
      </x:c>
      <x:c r="R1" s="6" t="str">
        <x:v>原表累计北_m</x:v>
      </x:c>
      <x:c r="S1" s="6" t="str">
        <x:v>原表累计东_m</x:v>
      </x:c>
      <x:c r="T1" s="6" t="str">
        <x:v>实测真厚度_m</x:v>
      </x:c>
    </x:row>
    <x:row r="2" ht="42" customHeight="1">
      <x:c r="A2" s="8" t="str">
        <x:v>R0001</x:v>
      </x:c>
      <x:c r="B2" s="8" t="str">
        <x:v>0-1</x:v>
      </x:c>
      <x:c r="C2" s="8" t="str">
        <x:v>C0</x:v>
      </x:c>
      <x:c r="D2" s="21" t="n">
        <x:v>0</x:v>
      </x:c>
      <x:c r="E2" s="21" t="n">
        <x:v>43.4</x:v>
      </x:c>
      <x:c r="F2" s="21" t="n">
        <x:v>43.4</x:v>
      </x:c>
      <x:c r="G2" s="21" t="n">
        <x:v>-4</x:v>
      </x:c>
      <x:c r="H2" s="21" t="n">
        <x:v>72</x:v>
      </x:c>
      <x:c r="I2" s="21" t="n">
        <x:v>323</x:v>
      </x:c>
      <x:c r="J2" s="21" t="n">
        <x:v>22</x:v>
      </x:c>
      <x:c r="K2" s="8" t="str">
        <x:v>泥岩</x:v>
      </x:c>
      <x:c r="L2" s="20" t="str">
        <x:v>泥岩。呈浅灰-土黄色，具泥质结构，薄层状构造。层理发育，单层厚度约0.5-1cm。泥质含量约85-90%，其余为粉砂。</x:v>
      </x:c>
      <x:c r="M2" s="8" t="str">
        <x:v>PM01-0-b1</x:v>
      </x:c>
      <x:c r="N2" s="21"/>
      <x:c r="O2" s="21" t="n">
        <x:v>43.294279781276366</x:v>
      </x:c>
      <x:c r="P2" s="21" t="n">
        <x:v>-3.027430960495038</x:v>
      </x:c>
      <x:c r="Q2" s="21" t="n">
        <x:v>-3.027430960495038</x:v>
      </x:c>
      <x:c r="R2" s="21" t="n">
        <x:v>13.37866821163808</x:v>
      </x:c>
      <x:c r="S2" s="21" t="n">
        <x:v>41.175306904288405</x:v>
      </x:c>
      <x:c r="T2" s="21"/>
    </x:row>
    <x:row r="3" ht="42" customHeight="1">
      <x:c r="A3" s="8" t="str">
        <x:v>R0002</x:v>
      </x:c>
      <x:c r="B3" s="8" t="str">
        <x:v>1-2</x:v>
      </x:c>
      <x:c r="C3" s="8" t="str">
        <x:v>C0</x:v>
      </x:c>
      <x:c r="D3" s="21" t="n">
        <x:v>0</x:v>
      </x:c>
      <x:c r="E3" s="21" t="n">
        <x:v>29.2</x:v>
      </x:c>
      <x:c r="F3" s="21" t="n">
        <x:v>29.2</x:v>
      </x:c>
      <x:c r="G3" s="21" t="n">
        <x:v>-3</x:v>
      </x:c>
      <x:c r="H3" s="21" t="n">
        <x:v>55</x:v>
      </x:c>
      <x:c r="I3" s="21" t="n">
        <x:v>323</x:v>
      </x:c>
      <x:c r="J3" s="21" t="n">
        <x:v>22</x:v>
      </x:c>
      <x:c r="K3" s="8" t="str">
        <x:v>泥岩</x:v>
      </x:c>
      <x:c r="L3" s="20" t="str">
        <x:v>泥岩。呈浅灰-土黄色，具泥质结构，薄层状构造。层理发育，单层厚度约0.5-1cm。泥质含量约85-90%，其余为粉砂。</x:v>
      </x:c>
      <x:c r="M3" s="8"/>
      <x:c r="N3" s="21"/>
      <x:c r="O3" s="21" t="n">
        <x:v>29.159982414833554</x:v>
      </x:c>
      <x:c r="P3" s="21" t="n">
        <x:v>-1.5282099222939598</x:v>
      </x:c>
      <x:c r="Q3" s="21" t="n">
        <x:v>-4.555640882788998</x:v>
      </x:c>
      <x:c r="R3" s="21" t="n">
        <x:v>30.104147009197483</x:v>
      </x:c>
      <x:c r="S3" s="21" t="n">
        <x:v>65.06176611083036</x:v>
      </x:c>
      <x:c r="T3" s="21"/>
    </x:row>
    <x:row r="4" ht="42" customHeight="1">
      <x:c r="A4" s="8" t="str">
        <x:v>R0003</x:v>
      </x:c>
      <x:c r="B4" s="8" t="str">
        <x:v>2-3</x:v>
      </x:c>
      <x:c r="C4" s="8" t="str">
        <x:v>C0</x:v>
      </x:c>
      <x:c r="D4" s="21" t="n">
        <x:v>0</x:v>
      </x:c>
      <x:c r="E4" s="21" t="n">
        <x:v>5</x:v>
      </x:c>
      <x:c r="F4" s="21" t="n">
        <x:v>5</x:v>
      </x:c>
      <x:c r="G4" s="21" t="n">
        <x:v>-5</x:v>
      </x:c>
      <x:c r="H4" s="21" t="n">
        <x:v>18</x:v>
      </x:c>
      <x:c r="I4" s="21" t="n">
        <x:v>323</x:v>
      </x:c>
      <x:c r="J4" s="21" t="n">
        <x:v>22</x:v>
      </x:c>
      <x:c r="K4" s="8" t="str">
        <x:v>泥岩</x:v>
      </x:c>
      <x:c r="L4" s="20" t="str">
        <x:v>泥岩。呈浅灰-土黄色，具泥质结构，薄层状构造。层理发育，单层厚度约0.5-1cm。泥质含量约85-90%，其余为粉砂。</x:v>
      </x:c>
      <x:c r="M4" s="8"/>
      <x:c r="N4" s="21"/>
      <x:c r="O4" s="21" t="n">
        <x:v>4.9809734904587275</x:v>
      </x:c>
      <x:c r="P4" s="21" t="n">
        <x:v>-0.4357787137382908</x:v>
      </x:c>
      <x:c r="Q4" s="21" t="n">
        <x:v>-4.9914195965272885</x:v>
      </x:c>
      <x:c r="R4" s="21" t="n">
        <x:v>34.84133430479167</x:v>
      </x:c>
      <x:c r="S4" s="21" t="n">
        <x:v>66.6009715679132</x:v>
      </x:c>
      <x:c r="T4" s="21"/>
    </x:row>
    <x:row r="5" ht="42" customHeight="1">
      <x:c r="A5" s="8" t="str">
        <x:v>R0004</x:v>
      </x:c>
      <x:c r="B5" s="8" t="str">
        <x:v>2-3</x:v>
      </x:c>
      <x:c r="C5" s="8" t="str">
        <x:v>C1</x:v>
      </x:c>
      <x:c r="D5" s="21" t="n">
        <x:v>5</x:v>
      </x:c>
      <x:c r="E5" s="21" t="n">
        <x:v>35</x:v>
      </x:c>
      <x:c r="F5" s="21" t="n">
        <x:v>30</x:v>
      </x:c>
      <x:c r="G5" s="21" t="n">
        <x:v>-5</x:v>
      </x:c>
      <x:c r="H5" s="21" t="n">
        <x:v>18</x:v>
      </x:c>
      <x:c r="I5" s="21" t="n">
        <x:v>286</x:v>
      </x:c>
      <x:c r="J5" s="21" t="n">
        <x:v>12</x:v>
      </x:c>
      <x:c r="K5" s="8" t="str">
        <x:v>粉砂质泥岩</x:v>
      </x:c>
      <x:c r="L5" s="20" t="str">
        <x:v>粉砂质泥岩。呈土黄色，具泥质结构，薄-中层状构造。泥质含量约60-65%，其余为粉砂。局部沿层理裂隙发育铁锰质氧化物薄膜。</x:v>
      </x:c>
      <x:c r="M5" s="8"/>
      <x:c r="N5" s="21"/>
      <x:c r="O5" s="21" t="n">
        <x:v>29.885840942752367</x:v>
      </x:c>
      <x:c r="P5" s="21" t="n">
        <x:v>-2.614672282429745</x:v>
      </x:c>
      <x:c r="Q5" s="21" t="n">
        <x:v>-5</x:v>
      </x:c>
      <x:c r="R5" s="21" t="n">
        <x:v>63.26445807835681</x:v>
      </x:c>
      <x:c r="S5" s="21" t="n">
        <x:v>75.83620431041028</x:v>
      </x:c>
      <x:c r="T5" s="21"/>
    </x:row>
    <x:row r="6" ht="42" customHeight="1">
      <x:c r="A6" s="8" t="str">
        <x:v>R0005</x:v>
      </x:c>
      <x:c r="B6" s="8" t="str">
        <x:v>3-4</x:v>
      </x:c>
      <x:c r="C6" s="8" t="str">
        <x:v>C1</x:v>
      </x:c>
      <x:c r="D6" s="21" t="n">
        <x:v>0</x:v>
      </x:c>
      <x:c r="E6" s="21" t="n">
        <x:v>3</x:v>
      </x:c>
      <x:c r="F6" s="21" t="n">
        <x:v>3</x:v>
      </x:c>
      <x:c r="G6" s="21" t="n">
        <x:v>-5</x:v>
      </x:c>
      <x:c r="H6" s="21" t="n">
        <x:v>46</x:v>
      </x:c>
      <x:c r="I6" s="21" t="n">
        <x:v>286</x:v>
      </x:c>
      <x:c r="J6" s="21" t="n">
        <x:v>12</x:v>
      </x:c>
      <x:c r="K6" s="8" t="str">
        <x:v>粉砂质泥岩</x:v>
      </x:c>
      <x:c r="L6" s="20" t="str">
        <x:v>粉砂质泥岩。呈土黄色，具泥质结构，薄-中层状构造。泥质含量约60-65%，其余为粉砂。局部沿层理裂隙发育铁锰质氧化物薄膜。</x:v>
      </x:c>
      <x:c r="M6" s="8" t="str">
        <x:v>PM01-1-b1</x:v>
      </x:c>
      <x:c r="N6" s="21"/>
      <x:c r="O6" s="21" t="n">
        <x:v>2.988584094275237</x:v>
      </x:c>
      <x:c r="P6" s="21" t="n">
        <x:v>-0.2614672282429745</x:v>
      </x:c>
      <x:c r="Q6" s="21" t="n">
        <x:v>-5.261467228242974</x:v>
      </x:c>
      <x:c r="R6" s="21" t="n">
        <x:v>65.34050303526573</x:v>
      </x:c>
      <x:c r="S6" s="21" t="n">
        <x:v>77.9860117960815</x:v>
      </x:c>
      <x:c r="T6" s="21"/>
    </x:row>
    <x:row r="7" ht="42" customHeight="1">
      <x:c r="A7" s="8" t="str">
        <x:v>R0006</x:v>
      </x:c>
      <x:c r="B7" s="8" t="str">
        <x:v>3-4</x:v>
      </x:c>
      <x:c r="C7" s="8" t="str">
        <x:v>C2</x:v>
      </x:c>
      <x:c r="D7" s="21" t="n">
        <x:v>3</x:v>
      </x:c>
      <x:c r="E7" s="21" t="n">
        <x:v>26.6</x:v>
      </x:c>
      <x:c r="F7" s="21" t="n">
        <x:v>23.6</x:v>
      </x:c>
      <x:c r="G7" s="21" t="n">
        <x:v>-5</x:v>
      </x:c>
      <x:c r="H7" s="21" t="n">
        <x:v>46</x:v>
      </x:c>
      <x:c r="I7" s="21" t="n">
        <x:v>293</x:v>
      </x:c>
      <x:c r="J7" s="21" t="n">
        <x:v>15</x:v>
      </x:c>
      <x:c r="K7" s="8" t="str">
        <x:v>泥岩</x:v>
      </x:c>
      <x:c r="L7" s="20" t="str">
        <x:v>泥岩。呈浅灰色，具泥质结构，薄层状构造，单层厚度约0.5-1cm。泥质含量约90-95%，其余为凝灰质。</x:v>
      </x:c>
      <x:c r="M7" s="8" t="str">
        <x:v>PM01-2-b1</x:v>
      </x:c>
      <x:c r="N7" s="21"/>
      <x:c r="O7" s="21" t="n">
        <x:v>23.510194874965197</x:v>
      </x:c>
      <x:c r="P7" s="21" t="n">
        <x:v>-2.0568755288447327</x:v>
      </x:c>
      <x:c r="Q7" s="21" t="n">
        <x:v>-7.3183427570877075</x:v>
      </x:c>
      <x:c r="R7" s="21" t="n">
        <x:v>81.67205669628252</x:v>
      </x:c>
      <x:c r="S7" s="21" t="n">
        <x:v>94.89783068336175</x:v>
      </x:c>
      <x:c r="T7" s="21"/>
    </x:row>
    <x:row r="8" ht="42" customHeight="1">
      <x:c r="A8" s="8" t="str">
        <x:v>R0007</x:v>
      </x:c>
      <x:c r="B8" s="8" t="str">
        <x:v>3-4</x:v>
      </x:c>
      <x:c r="C8" s="8" t="str">
        <x:v>C3</x:v>
      </x:c>
      <x:c r="D8" s="21" t="n">
        <x:v>26.6</x:v>
      </x:c>
      <x:c r="E8" s="21" t="n">
        <x:v>36</x:v>
      </x:c>
      <x:c r="F8" s="21" t="n">
        <x:v>9.399999999999999</x:v>
      </x:c>
      <x:c r="G8" s="21" t="n">
        <x:v>-5</x:v>
      </x:c>
      <x:c r="H8" s="21" t="n">
        <x:v>46</x:v>
      </x:c>
      <x:c r="I8" s="21" t="n">
        <x:v>290</x:v>
      </x:c>
      <x:c r="J8" s="21" t="n">
        <x:v>12</x:v>
      </x:c>
      <x:c r="K8" s="8" t="str">
        <x:v>含粉砂泥岩</x:v>
      </x:c>
      <x:c r="L8" s="20" t="str">
        <x:v>含粉砂泥岩。呈土黄色，具泥质结构，薄层状构造。纹层发育，单层厚度0.5-2cm。泥质含量约80-85%，其余为粉砂。</x:v>
      </x:c>
      <x:c r="M8" s="8" t="str">
        <x:v>PM01-3-b1</x:v>
      </x:c>
      <x:c r="N8" s="21"/>
      <x:c r="O8" s="21" t="n">
        <x:v>9.364230162062407</x:v>
      </x:c>
      <x:c r="P8" s="21" t="n">
        <x:v>-0.8192639818279867</x:v>
      </x:c>
      <x:c r="Q8" s="21" t="n">
        <x:v>-8.137606738915695</x:v>
      </x:c>
      <x:c r="R8" s="21" t="n">
        <x:v>88.17699756126379</x:v>
      </x:c>
      <x:c r="S8" s="21" t="n">
        <x:v>101.6338941384649</x:v>
      </x:c>
      <x:c r="T8" s="21"/>
    </x:row>
    <x:row r="9" ht="42" customHeight="1">
      <x:c r="A9" s="8" t="str">
        <x:v>R0008</x:v>
      </x:c>
      <x:c r="B9" s="8" t="str">
        <x:v>4-5</x:v>
      </x:c>
      <x:c r="C9" s="8" t="str">
        <x:v>C3</x:v>
      </x:c>
      <x:c r="D9" s="21" t="n">
        <x:v>0</x:v>
      </x:c>
      <x:c r="E9" s="21" t="n">
        <x:v>13</x:v>
      </x:c>
      <x:c r="F9" s="21" t="n">
        <x:v>13</x:v>
      </x:c>
      <x:c r="G9" s="21" t="n">
        <x:v>-10</x:v>
      </x:c>
      <x:c r="H9" s="21" t="n">
        <x:v>45</x:v>
      </x:c>
      <x:c r="I9" s="21" t="n">
        <x:v>285</x:v>
      </x:c>
      <x:c r="J9" s="21" t="n">
        <x:v>10</x:v>
      </x:c>
      <x:c r="K9" s="8" t="str">
        <x:v>含粉砂泥岩</x:v>
      </x:c>
      <x:c r="L9" s="20" t="str">
        <x:v>含粉砂泥岩。呈土黄色，具泥质结构，薄层状构造。纹层发育，单层厚度0.5-2cm。泥质含量约80-85%，其余为粉砂。</x:v>
      </x:c>
      <x:c r="M9" s="8"/>
      <x:c r="N9" s="21"/>
      <x:c r="O9" s="21" t="n">
        <x:v>12.802500789158705</x:v>
      </x:c>
      <x:c r="P9" s="21" t="n">
        <x:v>-2.257426309670094</x:v>
      </x:c>
      <x:c r="Q9" s="21" t="n">
        <x:v>-10.39503304858579</x:v>
      </x:c>
      <x:c r="R9" s="21" t="n">
        <x:v>97.22973268542404</x:v>
      </x:c>
      <x:c r="S9" s="21" t="n">
        <x:v>110.68662926262515</x:v>
      </x:c>
      <x:c r="T9" s="21"/>
    </x:row>
    <x:row r="10" ht="42" customHeight="1">
      <x:c r="A10" s="8" t="str">
        <x:v>R0009</x:v>
      </x:c>
      <x:c r="B10" s="8" t="str">
        <x:v>4-5</x:v>
      </x:c>
      <x:c r="C10" s="8" t="str">
        <x:v>C4</x:v>
      </x:c>
      <x:c r="D10" s="21" t="n">
        <x:v>13</x:v>
      </x:c>
      <x:c r="E10" s="21" t="n">
        <x:v>39.2</x:v>
      </x:c>
      <x:c r="F10" s="21" t="n">
        <x:v>26.200000000000003</x:v>
      </x:c>
      <x:c r="G10" s="21" t="n">
        <x:v>-10</x:v>
      </x:c>
      <x:c r="H10" s="21" t="n">
        <x:v>45</x:v>
      </x:c>
      <x:c r="I10" s="21" t="n">
        <x:v>285</x:v>
      </x:c>
      <x:c r="J10" s="21" t="n">
        <x:v>10</x:v>
      </x:c>
      <x:c r="K10" s="8" t="str">
        <x:v>泥晶灰岩</x:v>
      </x:c>
      <x:c r="L10" s="20" t="str">
        <x:v>泥晶灰岩。呈深灰色，具隐晶质结构，中-厚层状构造，单层厚度约30-120cm。方解石含量约85-90%，泥质含量约10-15%，零星见黄铁矿颗粒，粒径约0.1-0.3mm。</x:v>
      </x:c>
      <x:c r="M10" s="8" t="str">
        <x:v>PM01-4-b1</x:v>
      </x:c>
      <x:c r="N10" s="21"/>
      <x:c r="O10" s="21" t="n">
        <x:v>25.80196312891985</x:v>
      </x:c>
      <x:c r="P10" s="21" t="n">
        <x:v>-4.549582254873576</x:v>
      </x:c>
      <x:c r="Q10" s="21" t="n">
        <x:v>-14.944615303459365</x:v>
      </x:c>
      <x:c r="R10" s="21" t="n">
        <x:v>115.47447578180854</x:v>
      </x:c>
      <x:c r="S10" s="21" t="n">
        <x:v>128.93137235900963</x:v>
      </x:c>
      <x:c r="T10" s="21"/>
    </x:row>
    <x:row r="11" ht="42" customHeight="1">
      <x:c r="A11" s="8" t="str">
        <x:v>R0010</x:v>
      </x:c>
      <x:c r="B11" s="8" t="str">
        <x:v>4-5</x:v>
      </x:c>
      <x:c r="C11" s="8" t="str">
        <x:v>C5</x:v>
      </x:c>
      <x:c r="D11" s="21" t="n">
        <x:v>39.2</x:v>
      </x:c>
      <x:c r="E11" s="21" t="n">
        <x:v>52.4</x:v>
      </x:c>
      <x:c r="F11" s="21" t="n">
        <x:v>13.199999999999996</x:v>
      </x:c>
      <x:c r="G11" s="21" t="n">
        <x:v>-10</x:v>
      </x:c>
      <x:c r="H11" s="21" t="n">
        <x:v>45</x:v>
      </x:c>
      <x:c r="I11" s="21" t="n">
        <x:v>330</x:v>
      </x:c>
      <x:c r="J11" s="21" t="n">
        <x:v>5</x:v>
      </x:c>
      <x:c r="K11" s="8" t="str">
        <x:v>含生物碎屑凝灰岩</x:v>
      </x:c>
      <x:c r="L11" s="20" t="str">
        <x:v>含生物碎屑凝灰岩。呈浅灰色，具凝灰结构，薄-中层状构造。层理发育，单层厚度约8-30cm，凝灰质含量约85-90%，泥质含量约8-12%，其余为菊石生物碎屑。</x:v>
      </x:c>
      <x:c r="M11" s="8" t="str">
        <x:v>PM01-5-b1</x:v>
      </x:c>
      <x:c r="N11" s="21"/>
      <x:c r="O11" s="21" t="n">
        <x:v>12.999462339761141</x:v>
      </x:c>
      <x:c r="P11" s="21" t="n">
        <x:v>-2.2921559452034797</x:v>
      </x:c>
      <x:c r="Q11" s="21" t="n">
        <x:v>-17.236771248662844</x:v>
      </x:c>
      <x:c r="R11" s="21" t="n">
        <x:v>124.66648375403278</x:v>
      </x:c>
      <x:c r="S11" s="21" t="n">
        <x:v>138.12338033123388</x:v>
      </x:c>
      <x:c r="T11" s="21"/>
    </x:row>
    <x:row r="12" ht="42" customHeight="1">
      <x:c r="A12" s="8" t="str">
        <x:v>R0011</x:v>
      </x:c>
      <x:c r="B12" s="8" t="str">
        <x:v>4-5</x:v>
      </x:c>
      <x:c r="C12" s="8" t="str">
        <x:v>C6</x:v>
      </x:c>
      <x:c r="D12" s="21" t="n">
        <x:v>52.4</x:v>
      </x:c>
      <x:c r="E12" s="21" t="n">
        <x:v>58</x:v>
      </x:c>
      <x:c r="F12" s="21" t="n">
        <x:v>5.600000000000001</x:v>
      </x:c>
      <x:c r="G12" s="21" t="n">
        <x:v>-10</x:v>
      </x:c>
      <x:c r="H12" s="21" t="n">
        <x:v>45</x:v>
      </x:c>
      <x:c r="I12" s="21" t="n">
        <x:v>295</x:v>
      </x:c>
      <x:c r="J12" s="21" t="n">
        <x:v>13</x:v>
      </x:c>
      <x:c r="K12" s="8" t="str">
        <x:v>凝灰质泥岩</x:v>
      </x:c>
      <x:c r="L12" s="20" t="str">
        <x:v>凝灰质泥岩。呈浅灰色，具泥质结构，薄层状构造。纹层发育，单层厚度约0.1-0.5cm。泥质含量约70-75%，其余为凝灰质。</x:v>
      </x:c>
      <x:c r="M12" s="8" t="str">
        <x:v>PM01-6-b1</x:v>
      </x:c>
      <x:c r="N12" s="21"/>
      <x:c r="O12" s="21" t="n">
        <x:v>5.514923416868366</x:v>
      </x:c>
      <x:c r="P12" s="21" t="n">
        <x:v>-0.9724297949348101</x:v>
      </x:c>
      <x:c r="Q12" s="21" t="n">
        <x:v>-18.209201043597655</x:v>
      </x:c>
      <x:c r="R12" s="21" t="n">
        <x:v>128.5661234998249</x:v>
      </x:c>
      <x:c r="S12" s="21" t="n">
        <x:v>142.023020077026</x:v>
      </x:c>
      <x:c r="T12" s="21"/>
    </x:row>
    <x:row r="13" ht="42" customHeight="1">
      <x:c r="A13" s="8" t="str">
        <x:v>R0012</x:v>
      </x:c>
      <x:c r="B13" s="8" t="str">
        <x:v>5-6</x:v>
      </x:c>
      <x:c r="C13" s="8" t="str">
        <x:v>C6</x:v>
      </x:c>
      <x:c r="D13" s="21" t="n">
        <x:v>0</x:v>
      </x:c>
      <x:c r="E13" s="21" t="n">
        <x:v>1</x:v>
      </x:c>
      <x:c r="F13" s="21" t="n">
        <x:v>1</x:v>
      </x:c>
      <x:c r="G13" s="21" t="n">
        <x:v>-7</x:v>
      </x:c>
      <x:c r="H13" s="21" t="n">
        <x:v>21</x:v>
      </x:c>
      <x:c r="I13" s="21" t="n">
        <x:v>295</x:v>
      </x:c>
      <x:c r="J13" s="21" t="n">
        <x:v>13</x:v>
      </x:c>
      <x:c r="K13" s="8" t="str">
        <x:v>凝灰质泥岩</x:v>
      </x:c>
      <x:c r="L13" s="20" t="str">
        <x:v>凝灰质泥岩。呈浅灰色，具泥质结构，薄层状构造。纹层发育，单层厚度约0.1-0.5cm。泥质含量约70-75%，其余为凝灰质。</x:v>
      </x:c>
      <x:c r="M13" s="8"/>
      <x:c r="N13" s="21"/>
      <x:c r="O13" s="21" t="n">
        <x:v>0.992546151641322</x:v>
      </x:c>
      <x:c r="P13" s="21" t="n">
        <x:v>-0.12186934340514748</x:v>
      </x:c>
      <x:c r="Q13" s="21" t="n">
        <x:v>-18.331070387002804</x:v>
      </x:c>
      <x:c r="R13" s="21" t="n">
        <x:v>129.49274515939237</x:v>
      </x:c>
      <x:c r="S13" s="21" t="n">
        <x:v>142.37871680621876</x:v>
      </x:c>
      <x:c r="T13" s="21"/>
    </x:row>
    <x:row r="14" ht="42" customHeight="1">
      <x:c r="A14" s="8" t="str">
        <x:v>R0013</x:v>
      </x:c>
      <x:c r="B14" s="8" t="str">
        <x:v>5-6</x:v>
      </x:c>
      <x:c r="C14" s="8" t="str">
        <x:v>C7</x:v>
      </x:c>
      <x:c r="D14" s="21" t="n">
        <x:v>1</x:v>
      </x:c>
      <x:c r="E14" s="21" t="n">
        <x:v>15</x:v>
      </x:c>
      <x:c r="F14" s="21" t="n">
        <x:v>14</x:v>
      </x:c>
      <x:c r="G14" s="21" t="n">
        <x:v>-7</x:v>
      </x:c>
      <x:c r="H14" s="21" t="n">
        <x:v>21</x:v>
      </x:c>
      <x:c r="I14" s="21" t="n">
        <x:v>275</x:v>
      </x:c>
      <x:c r="J14" s="21" t="n">
        <x:v>15</x:v>
      </x:c>
      <x:c r="K14" s="8" t="str">
        <x:v>粉砂质泥岩</x:v>
      </x:c>
      <x:c r="L14" s="20" t="str">
        <x:v>粉砂质泥岩。粉砂质泥岩。呈土黄色，具泥质结构，薄-中层状构造。泥质含量约60-65%，其余为粉砂。</x:v>
      </x:c>
      <x:c r="M14" s="8" t="str">
        <x:v>PM01-7-b1</x:v>
      </x:c>
      <x:c r="N14" s="21"/>
      <x:c r="O14" s="21" t="n">
        <x:v>13.895646122978508</x:v>
      </x:c>
      <x:c r="P14" s="21" t="n">
        <x:v>-1.7061708076720647</x:v>
      </x:c>
      <x:c r="Q14" s="21" t="n">
        <x:v>-20.03724119467487</x:v>
      </x:c>
      <x:c r="R14" s="21" t="n">
        <x:v>142.46544839333683</x:v>
      </x:c>
      <x:c r="S14" s="21" t="n">
        <x:v>147.35847101491768</x:v>
      </x:c>
      <x:c r="T14" s="21"/>
    </x:row>
    <x:row r="15" ht="42" customHeight="1">
      <x:c r="A15" s="8" t="str">
        <x:v>R0014</x:v>
      </x:c>
      <x:c r="B15" s="8" t="str">
        <x:v>5-6</x:v>
      </x:c>
      <x:c r="C15" s="8" t="str">
        <x:v>C8</x:v>
      </x:c>
      <x:c r="D15" s="21" t="n">
        <x:v>15</x:v>
      </x:c>
      <x:c r="E15" s="21" t="n">
        <x:v>31</x:v>
      </x:c>
      <x:c r="F15" s="21" t="n">
        <x:v>16</x:v>
      </x:c>
      <x:c r="G15" s="21" t="n">
        <x:v>-7</x:v>
      </x:c>
      <x:c r="H15" s="21" t="n">
        <x:v>21</x:v>
      </x:c>
      <x:c r="I15" s="21" t="n">
        <x:v>275</x:v>
      </x:c>
      <x:c r="J15" s="21" t="n">
        <x:v>15</x:v>
      </x:c>
      <x:c r="K15" s="8" t="str">
        <x:v>凝灰质泥岩</x:v>
      </x:c>
      <x:c r="L15" s="20" t="str">
        <x:v>凝灰质泥岩。呈浅灰色，具泥质结构，薄层状构造。纹层发育，单层厚度约0.1-0.5cm。泥质含量约70-75%，其余为凝灰质。</x:v>
      </x:c>
      <x:c r="M15" s="8" t="str">
        <x:v>PM01-8-b1</x:v>
      </x:c>
      <x:c r="N15" s="21"/>
      <x:c r="O15" s="21" t="n">
        <x:v>15.880738426261152</x:v>
      </x:c>
      <x:c r="P15" s="21" t="n">
        <x:v>-1.9499094944823596</x:v>
      </x:c>
      <x:c r="Q15" s="21" t="n">
        <x:v>-21.98715068915723</x:v>
      </x:c>
      <x:c r="R15" s="21" t="n">
        <x:v>157.2913949464162</x:v>
      </x:c>
      <x:c r="S15" s="21" t="n">
        <x:v>153.04961868200215</x:v>
      </x:c>
      <x:c r="T15" s="21"/>
    </x:row>
    <x:row r="16" ht="42" customHeight="1">
      <x:c r="A16" s="8" t="str">
        <x:v>R0015</x:v>
      </x:c>
      <x:c r="B16" s="8" t="str">
        <x:v>6-7</x:v>
      </x:c>
      <x:c r="C16" s="8" t="str">
        <x:v>C8</x:v>
      </x:c>
      <x:c r="D16" s="21" t="n">
        <x:v>0</x:v>
      </x:c>
      <x:c r="E16" s="21" t="n">
        <x:v>12</x:v>
      </x:c>
      <x:c r="F16" s="21" t="n">
        <x:v>12</x:v>
      </x:c>
      <x:c r="G16" s="21" t="n">
        <x:v>-6</x:v>
      </x:c>
      <x:c r="H16" s="21" t="n">
        <x:v>50</x:v>
      </x:c>
      <x:c r="I16" s="21" t="n">
        <x:v>275</x:v>
      </x:c>
      <x:c r="J16" s="21" t="n">
        <x:v>15</x:v>
      </x:c>
      <x:c r="K16" s="8" t="str">
        <x:v>凝灰质泥岩</x:v>
      </x:c>
      <x:c r="L16" s="20" t="str">
        <x:v>凝灰质泥岩。呈浅灰色，具泥质结构，薄层状构造。纹层发育，单层厚度约0.1-0.5cm。泥质含量约70-75%，其余为凝灰质。</x:v>
      </x:c>
      <x:c r="M16" s="8"/>
      <x:c r="N16" s="21"/>
      <x:c r="O16" s="21" t="n">
        <x:v>11.934262744419279</x:v>
      </x:c>
      <x:c r="P16" s="21" t="n">
        <x:v>-1.2543415592118414</x:v>
      </x:c>
      <x:c r="Q16" s="21" t="n">
        <x:v>-23.24149224836907</x:v>
      </x:c>
      <x:c r="R16" s="21" t="n">
        <x:v>164.9625911692726</x:v>
      </x:c>
      <x:c r="S16" s="21" t="n">
        <x:v>162.19179434008637</x:v>
      </x:c>
      <x:c r="T16" s="21"/>
    </x:row>
    <x:row r="17" ht="42" customHeight="1">
      <x:c r="A17" s="8" t="str">
        <x:v>R0016</x:v>
      </x:c>
      <x:c r="B17" s="8" t="str">
        <x:v>6-7</x:v>
      </x:c>
      <x:c r="C17" s="8" t="str">
        <x:v>C9</x:v>
      </x:c>
      <x:c r="D17" s="21" t="n">
        <x:v>12</x:v>
      </x:c>
      <x:c r="E17" s="21" t="n">
        <x:v>29</x:v>
      </x:c>
      <x:c r="F17" s="21" t="n">
        <x:v>17</x:v>
      </x:c>
      <x:c r="G17" s="21" t="n">
        <x:v>-6</x:v>
      </x:c>
      <x:c r="H17" s="21" t="n">
        <x:v>50</x:v>
      </x:c>
      <x:c r="I17" s="21" t="n">
        <x:v>325</x:v>
      </x:c>
      <x:c r="J17" s="21" t="n">
        <x:v>19</x:v>
      </x:c>
      <x:c r="K17" s="8" t="str">
        <x:v>煤层</x:v>
      </x:c>
      <x:c r="L17" s="20" t="str">
        <x:v>煤层。厚度约1.5米。</x:v>
      </x:c>
      <x:c r="M17" s="8"/>
      <x:c r="N17" s="21"/>
      <x:c r="O17" s="21" t="n">
        <x:v>16.906872221260645</x:v>
      </x:c>
      <x:c r="P17" s="21" t="n">
        <x:v>-1.7769838755501088</x:v>
      </x:c>
      <x:c r="Q17" s="21" t="n">
        <x:v>-25.01847612391918</x:v>
      </x:c>
      <x:c r="R17" s="21" t="n">
        <x:v>175.83011915165247</x:v>
      </x:c>
      <x:c r="S17" s="21" t="n">
        <x:v>175.1432098557057</x:v>
      </x:c>
      <x:c r="T17" s="21"/>
    </x:row>
    <x:row r="18" ht="42" customHeight="1">
      <x:c r="A18" s="8" t="str">
        <x:v>R0017</x:v>
      </x:c>
      <x:c r="B18" s="8" t="str">
        <x:v>6-7</x:v>
      </x:c>
      <x:c r="C18" s="8" t="str">
        <x:v>C10</x:v>
      </x:c>
      <x:c r="D18" s="21" t="n">
        <x:v>29</x:v>
      </x:c>
      <x:c r="E18" s="21" t="n">
        <x:v>49</x:v>
      </x:c>
      <x:c r="F18" s="21" t="n">
        <x:v>20</x:v>
      </x:c>
      <x:c r="G18" s="21" t="n">
        <x:v>-6</x:v>
      </x:c>
      <x:c r="H18" s="21" t="n">
        <x:v>50</x:v>
      </x:c>
      <x:c r="I18" s="21" t="n">
        <x:v>328</x:v>
      </x:c>
      <x:c r="J18" s="21" t="n">
        <x:v>19</x:v>
      </x:c>
      <x:c r="K18" s="8" t="str">
        <x:v>凝灰质泥岩</x:v>
      </x:c>
      <x:c r="L18" s="20" t="str">
        <x:v>凝灰质泥岩。呈浅灰色，具泥质结构，薄层状构造。纹层发育，单层厚度约0.1-0.5cm。泥质含量约70-75%，其余为凝灰质。</x:v>
      </x:c>
      <x:c r="M18" s="8"/>
      <x:c r="N18" s="21"/>
      <x:c r="O18" s="21" t="n">
        <x:v>19.890437907365467</x:v>
      </x:c>
      <x:c r="P18" s="21" t="n">
        <x:v>-2.090569265353069</x:v>
      </x:c>
      <x:c r="Q18" s="21" t="n">
        <x:v>-27.109045389272246</x:v>
      </x:c>
      <x:c r="R18" s="21" t="n">
        <x:v>188.61544618974645</x:v>
      </x:c>
      <x:c r="S18" s="21" t="n">
        <x:v>190.38016928584608</x:v>
      </x:c>
      <x:c r="T18" s="21"/>
    </x:row>
    <x:row r="19" ht="42" customHeight="1">
      <x:c r="A19" s="8" t="str">
        <x:v>R0018</x:v>
      </x:c>
      <x:c r="B19" s="8" t="str">
        <x:v>7-8</x:v>
      </x:c>
      <x:c r="C19" s="8" t="str">
        <x:v>C10</x:v>
      </x:c>
      <x:c r="D19" s="21" t="n">
        <x:v>0</x:v>
      </x:c>
      <x:c r="E19" s="21" t="n">
        <x:v>42</x:v>
      </x:c>
      <x:c r="F19" s="21" t="n">
        <x:v>42</x:v>
      </x:c>
      <x:c r="G19" s="21" t="n">
        <x:v>-10</x:v>
      </x:c>
      <x:c r="H19" s="21" t="n">
        <x:v>61</x:v>
      </x:c>
      <x:c r="I19" s="21" t="n">
        <x:v>328</x:v>
      </x:c>
      <x:c r="J19" s="21" t="n">
        <x:v>19</x:v>
      </x:c>
      <x:c r="K19" s="8" t="str">
        <x:v>凝灰质泥岩</x:v>
      </x:c>
      <x:c r="L19" s="20" t="str">
        <x:v>凝灰质泥岩。呈浅灰色，具泥质结构，薄层状构造。纹层发育，单层厚度约0.1-0.5cm。泥质含量约70-75%，其余为凝灰质。</x:v>
      </x:c>
      <x:c r="M19" s="8"/>
      <x:c r="N19" s="21"/>
      <x:c r="O19" s="21" t="n">
        <x:v>41.361925626512736</x:v>
      </x:c>
      <x:c r="P19" s="21" t="n">
        <x:v>-7.293223462011074</x:v>
      </x:c>
      <x:c r="Q19" s="21" t="n">
        <x:v>-34.402268851283324</x:v>
      </x:c>
      <x:c r="R19" s="21" t="n">
        <x:v>208.66810564539333</x:v>
      </x:c>
      <x:c r="S19" s="21" t="n">
        <x:v>226.55612456402812</x:v>
      </x:c>
      <x:c r="T19" s="21"/>
    </x:row>
    <x:row r="20" ht="42" customHeight="1">
      <x:c r="A20" s="8" t="str">
        <x:v>R0019</x:v>
      </x:c>
      <x:c r="B20" s="8" t="str">
        <x:v>7-8</x:v>
      </x:c>
      <x:c r="C20" s="8" t="str">
        <x:v>C11</x:v>
      </x:c>
      <x:c r="D20" s="21" t="n">
        <x:v>42</x:v>
      </x:c>
      <x:c r="E20" s="21" t="n">
        <x:v>54</x:v>
      </x:c>
      <x:c r="F20" s="21" t="n">
        <x:v>12</x:v>
      </x:c>
      <x:c r="G20" s="21" t="n">
        <x:v>-10</x:v>
      </x:c>
      <x:c r="H20" s="21" t="n">
        <x:v>61</x:v>
      </x:c>
      <x:c r="I20" s="21" t="n">
        <x:v>315</x:v>
      </x:c>
      <x:c r="J20" s="21" t="n">
        <x:v>11</x:v>
      </x:c>
      <x:c r="K20" s="8" t="str">
        <x:v>碳质泥岩与煤线互层</x:v>
      </x:c>
      <x:c r="L20" s="20" t="str">
        <x:v>碳质泥岩与煤线互层。碳质泥岩呈灰黑色，具泥质结构，薄层状构造，单层厚度约1-3cm。泥质含量约55-60%，其余为碳质。煤线平均单层厚度约5-10cm。7-8导线26.5-31m处见厚度约1m得土黄色粉砂质泥岩。</x:v>
      </x:c>
      <x:c r="M20" s="8"/>
      <x:c r="N20" s="21"/>
      <x:c r="O20" s="21" t="n">
        <x:v>11.817693036146496</x:v>
      </x:c>
      <x:c r="P20" s="21" t="n">
        <x:v>-2.083778132003164</x:v>
      </x:c>
      <x:c r="Q20" s="21" t="n">
        <x:v>-36.486046983286485</x:v>
      </x:c>
      <x:c r="R20" s="21" t="n">
        <x:v>214.3974369184353</x:v>
      </x:c>
      <x:c r="S20" s="21" t="n">
        <x:v>236.89211178636586</x:v>
      </x:c>
      <x:c r="T20" s="21"/>
    </x:row>
    <x:row r="21" ht="42" customHeight="1">
      <x:c r="A21" s="8" t="str">
        <x:v>R0020</x:v>
      </x:c>
      <x:c r="B21" s="8" t="str">
        <x:v>7-8</x:v>
      </x:c>
      <x:c r="C21" s="8" t="str">
        <x:v>C12</x:v>
      </x:c>
      <x:c r="D21" s="21" t="n">
        <x:v>54</x:v>
      </x:c>
      <x:c r="E21" s="21" t="n">
        <x:v>65</x:v>
      </x:c>
      <x:c r="F21" s="21" t="n">
        <x:v>11</x:v>
      </x:c>
      <x:c r="G21" s="21" t="n">
        <x:v>-10</x:v>
      </x:c>
      <x:c r="H21" s="21" t="n">
        <x:v>61</x:v>
      </x:c>
      <x:c r="I21" s="21" t="n">
        <x:v>300</x:v>
      </x:c>
      <x:c r="J21" s="21" t="n">
        <x:v>11</x:v>
      </x:c>
      <x:c r="K21" s="8" t="str">
        <x:v>凝灰质泥岩</x:v>
      </x:c>
      <x:c r="L21" s="20" t="str">
        <x:v>凝灰质泥岩。呈浅灰色，具泥质结构，薄层状构造。纹层发育，单层厚度约0.1-0.5cm。泥质含量约70-75%，其余为凝灰质。</x:v>
      </x:c>
      <x:c r="M21" s="8"/>
      <x:c r="N21" s="21"/>
      <x:c r="O21" s="21" t="n">
        <x:v>10.832885283134289</x:v>
      </x:c>
      <x:c r="P21" s="21" t="n">
        <x:v>-1.9101299543362336</x:v>
      </x:c>
      <x:c r="Q21" s="21" t="n">
        <x:v>-38.39617693762272</x:v>
      </x:c>
      <x:c r="R21" s="21" t="n">
        <x:v>219.64932391872375</x:v>
      </x:c>
      <x:c r="S21" s="21" t="n">
        <x:v>246.36676674017545</x:v>
      </x:c>
      <x:c r="T21" s="21"/>
    </x:row>
    <x:row r="22" ht="42" customHeight="1">
      <x:c r="A22" s="8" t="str">
        <x:v>R0021</x:v>
      </x:c>
      <x:c r="B22" s="8" t="str">
        <x:v>8-9</x:v>
      </x:c>
      <x:c r="C22" s="8" t="str">
        <x:v>C12</x:v>
      </x:c>
      <x:c r="D22" s="21" t="n">
        <x:v>0</x:v>
      </x:c>
      <x:c r="E22" s="21" t="n">
        <x:v>16</x:v>
      </x:c>
      <x:c r="F22" s="21" t="n">
        <x:v>16</x:v>
      </x:c>
      <x:c r="G22" s="21" t="n">
        <x:v>-14</x:v>
      </x:c>
      <x:c r="H22" s="21" t="n">
        <x:v>17</x:v>
      </x:c>
      <x:c r="I22" s="21" t="n">
        <x:v>300</x:v>
      </x:c>
      <x:c r="J22" s="21" t="n">
        <x:v>11</x:v>
      </x:c>
      <x:c r="K22" s="8" t="str">
        <x:v>凝灰质泥岩</x:v>
      </x:c>
      <x:c r="L22" s="20" t="str">
        <x:v>凝灰质泥岩。呈浅灰色，具泥质结构，薄层状构造。纹层发育，单层厚度约0.1-0.5cm。泥质含量约70-75%，其余为凝灰质。</x:v>
      </x:c>
      <x:c r="M22" s="8"/>
      <x:c r="N22" s="21"/>
      <x:c r="O22" s="21" t="n">
        <x:v>15.524731620415944</x:v>
      </x:c>
      <x:c r="P22" s="21" t="n">
        <x:v>-3.8707503295946837</x:v>
      </x:c>
      <x:c r="Q22" s="21" t="n">
        <x:v>-42.266927267217405</x:v>
      </x:c>
      <x:c r="R22" s="21" t="n">
        <x:v>234.49569860237725</x:v>
      </x:c>
      <x:c r="S22" s="21" t="n">
        <x:v>250.90575898939943</x:v>
      </x:c>
      <x:c r="T22" s="21"/>
    </x:row>
    <x:row r="23" ht="42" customHeight="1">
      <x:c r="A23" s="8" t="str">
        <x:v>R0022</x:v>
      </x:c>
      <x:c r="B23" s="8" t="str">
        <x:v>8-9</x:v>
      </x:c>
      <x:c r="C23" s="8" t="str">
        <x:v>C13</x:v>
      </x:c>
      <x:c r="D23" s="21" t="n">
        <x:v>16</x:v>
      </x:c>
      <x:c r="E23" s="21" t="n">
        <x:v>18</x:v>
      </x:c>
      <x:c r="F23" s="21" t="n">
        <x:v>2</x:v>
      </x:c>
      <x:c r="G23" s="21" t="n">
        <x:v>-14</x:v>
      </x:c>
      <x:c r="H23" s="21" t="n">
        <x:v>17</x:v>
      </x:c>
      <x:c r="I23" s="21" t="n">
        <x:v>247</x:v>
      </x:c>
      <x:c r="J23" s="21" t="n">
        <x:v>20</x:v>
      </x:c>
      <x:c r="K23" s="8" t="str">
        <x:v>碳质泥岩与煤线互层</x:v>
      </x:c>
      <x:c r="L23" s="20" t="str">
        <x:v>碳质泥岩与煤线互层。碳质泥岩呈灰黑色，具泥质结构，薄层状构造，单层厚度约1-3cm。泥质含量约55-60%，其余为碳质。煤线平均单层厚度约5-10cm。</x:v>
      </x:c>
      <x:c r="M23" s="8"/>
      <x:c r="N23" s="21"/>
      <x:c r="O23" s="21" t="n">
        <x:v>1.940591452551993</x:v>
      </x:c>
      <x:c r="P23" s="21" t="n">
        <x:v>-0.48384379119933546</x:v>
      </x:c>
      <x:c r="Q23" s="21" t="n">
        <x:v>-42.75077105841674</x:v>
      </x:c>
      <x:c r="R23" s="21" t="n">
        <x:v>236.35149543783393</x:v>
      </x:c>
      <x:c r="S23" s="21" t="n">
        <x:v>251.47313302055244</x:v>
      </x:c>
      <x:c r="T23" s="21"/>
    </x:row>
    <x:row r="24" ht="42" customHeight="1">
      <x:c r="A24" s="8" t="str">
        <x:v>R0023</x:v>
      </x:c>
      <x:c r="B24" s="8" t="str">
        <x:v>8-9</x:v>
      </x:c>
      <x:c r="C24" s="8" t="str">
        <x:v>C14</x:v>
      </x:c>
      <x:c r="D24" s="21" t="n">
        <x:v>18</x:v>
      </x:c>
      <x:c r="E24" s="21" t="n">
        <x:v>24</x:v>
      </x:c>
      <x:c r="F24" s="21" t="n">
        <x:v>6</x:v>
      </x:c>
      <x:c r="G24" s="21" t="n">
        <x:v>-14</x:v>
      </x:c>
      <x:c r="H24" s="21" t="n">
        <x:v>17</x:v>
      </x:c>
      <x:c r="I24" s="21" t="n">
        <x:v>215</x:v>
      </x:c>
      <x:c r="J24" s="21" t="n">
        <x:v>23</x:v>
      </x:c>
      <x:c r="K24" s="8" t="str">
        <x:v>凝灰质泥岩</x:v>
      </x:c>
      <x:c r="L24" s="20" t="str">
        <x:v>凝灰质泥岩。呈浅灰色，具泥质结构，薄层状构造。纹层发育，单层厚度约0.1-0.5cm。泥质含量约70-75%，其余为凝灰质。</x:v>
      </x:c>
      <x:c r="M24" s="8"/>
      <x:c r="N24" s="21"/>
      <x:c r="O24" s="21" t="n">
        <x:v>5.821774357655979</x:v>
      </x:c>
      <x:c r="P24" s="21" t="n">
        <x:v>-1.4515313735980064</x:v>
      </x:c>
      <x:c r="Q24" s="21" t="n">
        <x:v>-44.20230243201475</x:v>
      </x:c>
      <x:c r="R24" s="21" t="n">
        <x:v>241.918885944204</x:v>
      </x:c>
      <x:c r="S24" s="21" t="n">
        <x:v>253.17525511401143</x:v>
      </x:c>
      <x:c r="T24" s="21"/>
    </x:row>
    <x:row r="25" ht="42" customHeight="1">
      <x:c r="A25" s="8" t="str">
        <x:v>R0024</x:v>
      </x:c>
      <x:c r="B25" s="8" t="str">
        <x:v>9-10</x:v>
      </x:c>
      <x:c r="C25" s="8" t="str">
        <x:v>C14</x:v>
      </x:c>
      <x:c r="D25" s="21" t="n">
        <x:v>0</x:v>
      </x:c>
      <x:c r="E25" s="21" t="n">
        <x:v>23</x:v>
      </x:c>
      <x:c r="F25" s="21" t="n">
        <x:v>23</x:v>
      </x:c>
      <x:c r="G25" s="21" t="n">
        <x:v>-7</x:v>
      </x:c>
      <x:c r="H25" s="21" t="n">
        <x:v>5</x:v>
      </x:c>
      <x:c r="I25" s="21" t="n">
        <x:v>215</x:v>
      </x:c>
      <x:c r="J25" s="21" t="n">
        <x:v>23</x:v>
      </x:c>
      <x:c r="K25" s="8" t="str">
        <x:v>凝灰质泥岩</x:v>
      </x:c>
      <x:c r="L25" s="20" t="str">
        <x:v>凝灰质泥岩。呈浅灰色，具泥质结构，薄层状构造。纹层发育，单层厚度约0.1-0.5cm。泥质含量约70-75%，其余为凝灰质。</x:v>
      </x:c>
      <x:c r="M25" s="8"/>
      <x:c r="N25" s="21"/>
      <x:c r="O25" s="21" t="n">
        <x:v>22.828561487750406</x:v>
      </x:c>
      <x:c r="P25" s="21" t="n">
        <x:v>-2.802994898318392</x:v>
      </x:c>
      <x:c r="Q25" s="21" t="n">
        <x:v>-45.553765956735134</x:v>
      </x:c>
      <x:c r="R25" s="21" t="n">
        <x:v>259.0931873569923</x:v>
      </x:c>
      <x:c r="S25" s="21" t="n">
        <x:v>253.46277325287792</x:v>
      </x:c>
      <x:c r="T25" s="21"/>
    </x:row>
    <x:row r="26" ht="42" customHeight="1">
      <x:c r="A26" s="8" t="str">
        <x:v>R0025</x:v>
      </x:c>
      <x:c r="B26" s="8" t="str">
        <x:v>10-11</x:v>
      </x:c>
      <x:c r="C26" s="8" t="str">
        <x:v>C15</x:v>
      </x:c>
      <x:c r="D26" s="21" t="n">
        <x:v>0</x:v>
      </x:c>
      <x:c r="E26" s="21" t="n">
        <x:v>3</x:v>
      </x:c>
      <x:c r="F26" s="21" t="n">
        <x:v>3</x:v>
      </x:c>
      <x:c r="G26" s="21" t="n">
        <x:v>-12</x:v>
      </x:c>
      <x:c r="H26" s="21" t="n">
        <x:v>118</x:v>
      </x:c>
      <x:c r="I26" s="21" t="n">
        <x:v>218</x:v>
      </x:c>
      <x:c r="J26" s="21" t="n">
        <x:v>13</x:v>
      </x:c>
      <x:c r="K26" s="8" t="str">
        <x:v>含火山碎屑粉砂质泥岩</x:v>
      </x:c>
      <x:c r="L26" s="20" t="str">
        <x:v>含火山碎屑粉砂质泥岩。呈黄绿色，具泥质结构，薄层状构造，单层厚度约3-8cm。泥质含量约60-65%，粉砂含量约25-30%，其余为玄武质火山碎屑。火山碎屑粒径约0.2-1mm，呈棱角状，磨圆度差，分选差。岩石内部充填铁锰质胶结物，宽度约0.2-0.5cm。岩石层理中多见球形风化。</x:v>
      </x:c>
      <x:c r="M26" s="8" t="str">
        <x:v>PM01-15-b1</x:v>
      </x:c>
      <x:c r="N26" s="21"/>
      <x:c r="O26" s="21" t="n">
        <x:v>2.934442802201417</x:v>
      </x:c>
      <x:c r="P26" s="21" t="n">
        <x:v>-0.623735072453278</x:v>
      </x:c>
      <x:c r="Q26" s="21" t="n">
        <x:v>-44.826037504468026</x:v>
      </x:c>
      <x:c r="R26" s="21" t="n">
        <x:v>240.54124849594868</x:v>
      </x:c>
      <x:c r="S26" s="21" t="n">
        <x:v>255.7662143225974</x:v>
      </x:c>
      <x:c r="T26" s="21"/>
    </x:row>
    <x:row r="27" ht="42" customHeight="1">
      <x:c r="A27" s="8" t="str">
        <x:v>R0026</x:v>
      </x:c>
      <x:c r="B27" s="8" t="str">
        <x:v>10-11</x:v>
      </x:c>
      <x:c r="C27" s="8" t="str">
        <x:v>C16</x:v>
      </x:c>
      <x:c r="D27" s="21" t="n">
        <x:v>3</x:v>
      </x:c>
      <x:c r="E27" s="21" t="n">
        <x:v>5.1</x:v>
      </x:c>
      <x:c r="F27" s="21" t="n">
        <x:v>2.0999999999999996</x:v>
      </x:c>
      <x:c r="G27" s="21" t="n">
        <x:v>-12</x:v>
      </x:c>
      <x:c r="H27" s="21" t="n">
        <x:v>118</x:v>
      </x:c>
      <x:c r="I27" s="21" t="n">
        <x:v>215</x:v>
      </x:c>
      <x:c r="J27" s="21" t="n">
        <x:v>13</x:v>
      </x:c>
      <x:c r="K27" s="8" t="str">
        <x:v>泥化凝灰岩</x:v>
      </x:c>
      <x:c r="L27" s="20" t="str">
        <x:v>泥化凝灰岩。呈灰白色，具凝灰结构，薄层状构造，单层厚度约1-3cm。凝灰含量＞90%。岩石整体发生高岭土化。</x:v>
      </x:c>
      <x:c r="M27" s="8" t="str">
        <x:v>PM01-16-b1</x:v>
      </x:c>
      <x:c r="N27" s="21"/>
      <x:c r="O27" s="21" t="n">
        <x:v>2.0541099615409917</x:v>
      </x:c>
      <x:c r="P27" s="21" t="n">
        <x:v>-0.4366145507172945</x:v>
      </x:c>
      <x:c r="Q27" s="21" t="n">
        <x:v>-45.26265205518532</x:v>
      </x:c>
      <x:c r="R27" s="21" t="n">
        <x:v>239.57690228216995</x:v>
      </x:c>
      <x:c r="S27" s="21" t="n">
        <x:v>257.57988576860754</x:v>
      </x:c>
      <x:c r="T27" s="21"/>
    </x:row>
    <x:row r="28" ht="42" customHeight="1">
      <x:c r="A28" s="8" t="str">
        <x:v>R0027</x:v>
      </x:c>
      <x:c r="B28" s="8" t="str">
        <x:v>10-11</x:v>
      </x:c>
      <x:c r="C28" s="8" t="str">
        <x:v>C17</x:v>
      </x:c>
      <x:c r="D28" s="21" t="n">
        <x:v>5.1</x:v>
      </x:c>
      <x:c r="E28" s="21" t="n">
        <x:v>13</x:v>
      </x:c>
      <x:c r="F28" s="21" t="n">
        <x:v>7.9</x:v>
      </x:c>
      <x:c r="G28" s="21" t="n">
        <x:v>-12</x:v>
      </x:c>
      <x:c r="H28" s="21" t="n">
        <x:v>118</x:v>
      </x:c>
      <x:c r="I28" s="21" t="n">
        <x:v>208</x:v>
      </x:c>
      <x:c r="J28" s="21" t="n">
        <x:v>7</x:v>
      </x:c>
      <x:c r="K28" s="8" t="str">
        <x:v>玄武质火山碎屑岩</x:v>
      </x:c>
      <x:c r="L28" s="20" t="str">
        <x:v>玄武质火山碎屑岩。呈灰绿色，具火山碎屑结构，薄-中层状构造，单层厚度约3-8cm。火山碎屑含量约55-60%，其余为玄武质凝灰岩。火山碎屑岩粒径约0.1-0.5cm，呈棱角状，磨圆度差，分选差。</x:v>
      </x:c>
      <x:c r="M28" s="8" t="str">
        <x:v>PM01-17-b1</x:v>
      </x:c>
      <x:c r="N28" s="21"/>
      <x:c r="O28" s="21" t="n">
        <x:v>7.727366045797066</x:v>
      </x:c>
      <x:c r="P28" s="21" t="n">
        <x:v>-1.6425023574602986</x:v>
      </x:c>
      <x:c r="Q28" s="21" t="n">
        <x:v>-46.90515441264562</x:v>
      </x:c>
      <x:c r="R28" s="21" t="n">
        <x:v>235.94912366843099</x:v>
      </x:c>
      <x:c r="S28" s="21" t="n">
        <x:v>264.4027450178839</x:v>
      </x:c>
      <x:c r="T28" s="21"/>
    </x:row>
    <x:row r="29" ht="42" customHeight="1">
      <x:c r="A29" s="8" t="str">
        <x:v>R0028</x:v>
      </x:c>
      <x:c r="B29" s="8" t="str">
        <x:v>10-11</x:v>
      </x:c>
      <x:c r="C29" s="8" t="str">
        <x:v>C18</x:v>
      </x:c>
      <x:c r="D29" s="21" t="n">
        <x:v>13</x:v>
      </x:c>
      <x:c r="E29" s="21" t="n">
        <x:v>27</x:v>
      </x:c>
      <x:c r="F29" s="21" t="n">
        <x:v>14</x:v>
      </x:c>
      <x:c r="G29" s="21" t="n">
        <x:v>-12</x:v>
      </x:c>
      <x:c r="H29" s="21" t="n">
        <x:v>118</x:v>
      </x:c>
      <x:c r="I29" s="21" t="n">
        <x:v>205</x:v>
      </x:c>
      <x:c r="J29" s="21" t="n">
        <x:v>8</x:v>
      </x:c>
      <x:c r="K29" s="8" t="str">
        <x:v>粉砂质泥岩</x:v>
      </x:c>
      <x:c r="L29" s="20" t="str">
        <x:v>粉砂质泥岩。呈土黄色，具泥质结构，薄-中层状构造。泥质含量约60-65%，其余为粉砂。局部沿层理裂隙发育铁锰质氧化物薄膜。</x:v>
      </x:c>
      <x:c r="M29" s="8"/>
      <x:c r="N29" s="21"/>
      <x:c r="O29" s="21" t="n">
        <x:v>13.69406641027328</x:v>
      </x:c>
      <x:c r="P29" s="21" t="n">
        <x:v>-2.9107636714486302</x:v>
      </x:c>
      <x:c r="Q29" s="21" t="n">
        <x:v>-49.81591808409425</x:v>
      </x:c>
      <x:c r="R29" s="21" t="n">
        <x:v>229.52014890990623</x:v>
      </x:c>
      <x:c r="S29" s="21" t="n">
        <x:v>276.49388799128496</x:v>
      </x:c>
      <x:c r="T29" s="21"/>
    </x:row>
    <x:row r="30" ht="42" customHeight="1">
      <x:c r="A30" s="8" t="str">
        <x:v>R0029</x:v>
      </x:c>
      <x:c r="B30" s="8" t="str">
        <x:v>10-11</x:v>
      </x:c>
      <x:c r="C30" s="8" t="str">
        <x:v>C19</x:v>
      </x:c>
      <x:c r="D30" s="21" t="n">
        <x:v>27</x:v>
      </x:c>
      <x:c r="E30" s="21" t="n">
        <x:v>56</x:v>
      </x:c>
      <x:c r="F30" s="21" t="n">
        <x:v>29</x:v>
      </x:c>
      <x:c r="G30" s="21" t="n">
        <x:v>-12</x:v>
      </x:c>
      <x:c r="H30" s="21" t="n">
        <x:v>118</x:v>
      </x:c>
      <x:c r="I30" s="21" t="n">
        <x:v>245</x:v>
      </x:c>
      <x:c r="J30" s="21" t="n">
        <x:v>3</x:v>
      </x:c>
      <x:c r="K30" s="8" t="str">
        <x:v>凝灰质泥岩</x:v>
      </x:c>
      <x:c r="L30" s="20" t="str">
        <x:v>凝灰质泥岩。呈浅灰色，具泥质结构，薄层状构造。纹层发育，单层厚度约0.1-0.5cm。泥质含量约70-75%，其余为凝灰质。</x:v>
      </x:c>
      <x:c r="M30" s="8"/>
      <x:c r="N30" s="21"/>
      <x:c r="O30" s="21" t="n">
        <x:v>28.366280421280365</x:v>
      </x:c>
      <x:c r="P30" s="21" t="n">
        <x:v>-6.02943903371502</x:v>
      </x:c>
      <x:c r="Q30" s="21" t="n">
        <x:v>-55.84535711780927</x:v>
      </x:c>
      <x:c r="R30" s="21" t="n">
        <x:v>216.20298691010493</x:v>
      </x:c>
      <x:c r="S30" s="21" t="n">
        <x:v>301.53982700761577</x:v>
      </x:c>
      <x:c r="T30" s="21"/>
    </x:row>
    <x:row r="31" ht="42" customHeight="1">
      <x:c r="A31" s="8" t="str">
        <x:v>R0030</x:v>
      </x:c>
      <x:c r="B31" s="8" t="str">
        <x:v>11-12</x:v>
      </x:c>
      <x:c r="C31" s="8" t="str">
        <x:v>C19</x:v>
      </x:c>
      <x:c r="D31" s="21" t="n">
        <x:v>0</x:v>
      </x:c>
      <x:c r="E31" s="21" t="n">
        <x:v>13</x:v>
      </x:c>
      <x:c r="F31" s="21" t="n">
        <x:v>13</x:v>
      </x:c>
      <x:c r="G31" s="21" t="n">
        <x:v>-6</x:v>
      </x:c>
      <x:c r="H31" s="21" t="n">
        <x:v>95</x:v>
      </x:c>
      <x:c r="I31" s="21" t="n">
        <x:v>245</x:v>
      </x:c>
      <x:c r="J31" s="21" t="n">
        <x:v>3</x:v>
      </x:c>
      <x:c r="K31" s="8" t="str">
        <x:v>凝灰质泥岩</x:v>
      </x:c>
      <x:c r="L31" s="20" t="str">
        <x:v>凝灰质泥岩。呈浅灰色，具泥质结构，薄层状构造。纹层发育，单层厚度约0.1-0.5cm。泥质含量约70-75%，其余为凝灰质。</x:v>
      </x:c>
      <x:c r="M31" s="8"/>
      <x:c r="N31" s="21"/>
      <x:c r="O31" s="21" t="n">
        <x:v>12.928784639787553</x:v>
      </x:c>
      <x:c r="P31" s="21" t="n">
        <x:v>-1.358870022479495</x:v>
      </x:c>
      <x:c r="Q31" s="21" t="n">
        <x:v>-57.204227140288765</x:v>
      </x:c>
      <x:c r="R31" s="21" t="n">
        <x:v>215.07616908199972</x:v>
      </x:c>
      <x:c r="S31" s="21" t="n">
        <x:v>314.4194137185421</x:v>
      </x:c>
      <x:c r="T31" s="21"/>
    </x:row>
    <x:row r="32" ht="42" customHeight="1">
      <x:c r="A32" s="8" t="str">
        <x:v>R0031</x:v>
      </x:c>
      <x:c r="B32" s="8" t="str">
        <x:v>11-12</x:v>
      </x:c>
      <x:c r="C32" s="8" t="str">
        <x:v>C20</x:v>
      </x:c>
      <x:c r="D32" s="21" t="n">
        <x:v>13</x:v>
      </x:c>
      <x:c r="E32" s="21" t="n">
        <x:v>47</x:v>
      </x:c>
      <x:c r="F32" s="21" t="n">
        <x:v>34</x:v>
      </x:c>
      <x:c r="G32" s="21" t="n">
        <x:v>-6</x:v>
      </x:c>
      <x:c r="H32" s="21" t="n">
        <x:v>95</x:v>
      </x:c>
      <x:c r="I32" s="21" t="n">
        <x:v>205</x:v>
      </x:c>
      <x:c r="J32" s="21" t="n">
        <x:v>14</x:v>
      </x:c>
      <x:c r="K32" s="8" t="str">
        <x:v>泥质粉砂岩</x:v>
      </x:c>
      <x:c r="L32" s="20" t="str">
        <x:v>泥质粉砂岩。呈土黄色，具粉砂结构，中-薄层状构造，单层厚度约5-25cm。粉砂含量约60-65%，其余为泥质。</x:v>
      </x:c>
      <x:c r="M32" s="8"/>
      <x:c r="N32" s="21"/>
      <x:c r="O32" s="21" t="n">
        <x:v>33.81374444252129</x:v>
      </x:c>
      <x:c r="P32" s="21" t="n">
        <x:v>-3.5539677511002177</x:v>
      </x:c>
      <x:c r="Q32" s="21" t="n">
        <x:v>-60.75819489138898</x:v>
      </x:c>
      <x:c r="R32" s="21" t="n">
        <x:v>212.1291070700323</x:v>
      </x:c>
      <x:c r="S32" s="21" t="n">
        <x:v>348.104486654811</x:v>
      </x:c>
      <x:c r="T32" s="21"/>
    </x:row>
    <x:row r="33" ht="42" customHeight="1">
      <x:c r="A33" s="8" t="str">
        <x:v>R0032</x:v>
      </x:c>
      <x:c r="B33" s="8" t="str">
        <x:v>12-13</x:v>
      </x:c>
      <x:c r="C33" s="8" t="str">
        <x:v>C20</x:v>
      </x:c>
      <x:c r="D33" s="21" t="n">
        <x:v>0</x:v>
      </x:c>
      <x:c r="E33" s="21" t="n">
        <x:v>5</x:v>
      </x:c>
      <x:c r="F33" s="21" t="n">
        <x:v>5</x:v>
      </x:c>
      <x:c r="G33" s="21" t="n">
        <x:v>-5</x:v>
      </x:c>
      <x:c r="H33" s="21" t="n">
        <x:v>110</x:v>
      </x:c>
      <x:c r="I33" s="21" t="n">
        <x:v>205</x:v>
      </x:c>
      <x:c r="J33" s="21" t="n">
        <x:v>14</x:v>
      </x:c>
      <x:c r="K33" s="8" t="str">
        <x:v>泥质粉砂岩</x:v>
      </x:c>
      <x:c r="L33" s="20" t="str">
        <x:v>泥质粉砂岩。呈土黄色，具粉砂结构，中-薄层状构造，单层厚度约5-25cm。粉砂含量约60-65%，其余为泥质。</x:v>
      </x:c>
      <x:c r="M33" s="8"/>
      <x:c r="N33" s="21"/>
      <x:c r="O33" s="21" t="n">
        <x:v>4.9809734904587275</x:v>
      </x:c>
      <x:c r="P33" s="21" t="n">
        <x:v>-0.4357787137382908</x:v>
      </x:c>
      <x:c r="Q33" s="21" t="n">
        <x:v>-61.193973605127276</x:v>
      </x:c>
      <x:c r="R33" s="21" t="n">
        <x:v>210.42551380292423</x:v>
      </x:c>
      <x:c r="S33" s="21" t="n">
        <x:v>352.7850706881253</x:v>
      </x:c>
      <x:c r="T33" s="21"/>
    </x:row>
    <x:row r="34" ht="42" customHeight="1">
      <x:c r="A34" s="8" t="str">
        <x:v>R0033</x:v>
      </x:c>
      <x:c r="B34" s="8" t="str">
        <x:v>13-14</x:v>
      </x:c>
      <x:c r="C34" s="8" t="str">
        <x:v>C20</x:v>
      </x:c>
      <x:c r="D34" s="21" t="n">
        <x:v>0</x:v>
      </x:c>
      <x:c r="E34" s="21" t="n">
        <x:v>18</x:v>
      </x:c>
      <x:c r="F34" s="21" t="n">
        <x:v>18</x:v>
      </x:c>
      <x:c r="G34" s="21" t="n">
        <x:v>-12</x:v>
      </x:c>
      <x:c r="H34" s="21" t="n">
        <x:v>165</x:v>
      </x:c>
      <x:c r="I34" s="21" t="n">
        <x:v>205</x:v>
      </x:c>
      <x:c r="J34" s="21" t="n">
        <x:v>14</x:v>
      </x:c>
      <x:c r="K34" s="8" t="str">
        <x:v>泥质粉砂岩</x:v>
      </x:c>
      <x:c r="L34" s="20" t="str">
        <x:v>泥质粉砂岩。呈土黄色，具粉砂结构，中-薄层状构造，单层厚度约5-25cm。粉砂含量约60-65%，其余为泥质。</x:v>
      </x:c>
      <x:c r="M34" s="8"/>
      <x:c r="N34" s="21"/>
      <x:c r="O34" s="21" t="n">
        <x:v>17.606656813208502</x:v>
      </x:c>
      <x:c r="P34" s="21" t="n">
        <x:v>-3.742410434719668</x:v>
      </x:c>
      <x:c r="Q34" s="21" t="n">
        <x:v>-64.93638403984694</x:v>
      </x:c>
      <x:c r="R34" s="21" t="n">
        <x:v>193.41878927243775</x:v>
      </x:c>
      <x:c r="S34" s="21" t="n">
        <x:v>357.3420087919677</x:v>
      </x:c>
      <x:c r="T34" s="21"/>
    </x:row>
    <x:row r="35" ht="42" customHeight="1">
      <x:c r="A35" s="8" t="str">
        <x:v>R0034</x:v>
      </x:c>
      <x:c r="B35" s="8" t="str">
        <x:v>13-14</x:v>
      </x:c>
      <x:c r="C35" s="8" t="str">
        <x:v>C21</x:v>
      </x:c>
      <x:c r="D35" s="21" t="n">
        <x:v>18</x:v>
      </x:c>
      <x:c r="E35" s="21" t="n">
        <x:v>66</x:v>
      </x:c>
      <x:c r="F35" s="21" t="n">
        <x:v>48</x:v>
      </x:c>
      <x:c r="G35" s="21" t="n">
        <x:v>-12</x:v>
      </x:c>
      <x:c r="H35" s="21" t="n">
        <x:v>165</x:v>
      </x:c>
      <x:c r="I35" s="21" t="n">
        <x:v>209</x:v>
      </x:c>
      <x:c r="J35" s="21" t="n">
        <x:v>6</x:v>
      </x:c>
      <x:c r="K35" s="8" t="str">
        <x:v>凝灰岩</x:v>
      </x:c>
      <x:c r="L35" s="20" t="str">
        <x:v>凝灰岩。呈灰白色，具凝灰结构，薄层状构造，单层厚度约3-5cm。凝灰质含量＞90%。岩石内部见气孔状构造，气孔直径约0.05-0.1mm。</x:v>
      </x:c>
      <x:c r="M35" s="8"/>
      <x:c r="N35" s="21"/>
      <x:c r="O35" s="21" t="n">
        <x:v>46.95108483522267</x:v>
      </x:c>
      <x:c r="P35" s="21" t="n">
        <x:v>-9.979761159252448</x:v>
      </x:c>
      <x:c r="Q35" s="21" t="n">
        <x:v>-74.91614519909939</x:v>
      </x:c>
      <x:c r="R35" s="21" t="n">
        <x:v>148.06752385780715</x:v>
      </x:c>
      <x:c r="S35" s="21" t="n">
        <x:v>369.4938437355475</x:v>
      </x:c>
      <x:c r="T35" s="21"/>
    </x:row>
    <x:row r="36" ht="42" customHeight="1">
      <x:c r="A36" s="8" t="str">
        <x:v>R0035</x:v>
      </x:c>
      <x:c r="B36" s="8" t="str">
        <x:v>14-15</x:v>
      </x:c>
      <x:c r="C36" s="8" t="str">
        <x:v>C21</x:v>
      </x:c>
      <x:c r="D36" s="21" t="n">
        <x:v>0</x:v>
      </x:c>
      <x:c r="E36" s="21" t="n">
        <x:v>20</x:v>
      </x:c>
      <x:c r="F36" s="21" t="n">
        <x:v>20</x:v>
      </x:c>
      <x:c r="G36" s="21" t="n">
        <x:v>-16</x:v>
      </x:c>
      <x:c r="H36" s="21" t="n">
        <x:v>150</x:v>
      </x:c>
      <x:c r="I36" s="21" t="n">
        <x:v>209</x:v>
      </x:c>
      <x:c r="J36" s="21" t="n">
        <x:v>6</x:v>
      </x:c>
      <x:c r="K36" s="8" t="str">
        <x:v>凝灰岩</x:v>
      </x:c>
      <x:c r="L36" s="20" t="str">
        <x:v>凝灰岩。呈灰白色，具凝灰结构，薄层状构造，单层厚度约3-5cm。凝灰质含量＞90%。岩石内部见气孔状构造，气孔直径约0.05-0.1mm。</x:v>
      </x:c>
      <x:c r="M36" s="8"/>
      <x:c r="N36" s="21"/>
      <x:c r="O36" s="21" t="n">
        <x:v>19.225233918766378</x:v>
      </x:c>
      <x:c r="P36" s="21" t="n">
        <x:v>-5.512747116339983</x:v>
      </x:c>
      <x:c r="Q36" s="21" t="n">
        <x:v>-80.42889231543937</x:v>
      </x:c>
      <x:c r="R36" s="21" t="n">
        <x:v>131.4179828904572</x:v>
      </x:c>
      <x:c r="S36" s="21" t="n">
        <x:v>379.10646069493066</x:v>
      </x:c>
      <x:c r="T36" s="21"/>
    </x:row>
    <x:row r="37" ht="42" customHeight="1">
      <x:c r="A37" s="8" t="str">
        <x:v>R0036</x:v>
      </x:c>
      <x:c r="B37" s="8" t="str">
        <x:v>14-15</x:v>
      </x:c>
      <x:c r="C37" s="8" t="str">
        <x:v>C22</x:v>
      </x:c>
      <x:c r="D37" s="21" t="n">
        <x:v>20</x:v>
      </x:c>
      <x:c r="E37" s="21" t="n">
        <x:v>25</x:v>
      </x:c>
      <x:c r="F37" s="21" t="n">
        <x:v>5</x:v>
      </x:c>
      <x:c r="G37" s="21" t="n">
        <x:v>-16</x:v>
      </x:c>
      <x:c r="H37" s="21" t="n">
        <x:v>150</x:v>
      </x:c>
      <x:c r="I37" s="21" t="n">
        <x:v>209</x:v>
      </x:c>
      <x:c r="J37" s="21" t="n">
        <x:v>6</x:v>
      </x:c>
      <x:c r="K37" s="8" t="str">
        <x:v>硅化凝灰岩</x:v>
      </x:c>
      <x:c r="L37" s="20" t="str">
        <x:v>硅化凝灰岩。呈浅灰-灰色，具重结晶结构，薄-中层状构造，单层厚度约8-15cm。凝灰质含量约70-75%，其余为硅质。岩石整体发生弱硅化、黄铁矿化蚀变现象，局部见石英细脉，宽度约0.1-0.3cm。岩石整体较破碎，受残坡积覆盖严重。</x:v>
      </x:c>
      <x:c r="M37" s="8" t="str">
        <x:v>PM01-22-b1</x:v>
      </x:c>
      <x:c r="N37" s="21"/>
      <x:c r="O37" s="21" t="n">
        <x:v>4.8063084796915945</x:v>
      </x:c>
      <x:c r="P37" s="21" t="n">
        <x:v>-1.3781867790849958</x:v>
      </x:c>
      <x:c r="Q37" s="21" t="n">
        <x:v>-81.80707909452437</x:v>
      </x:c>
      <x:c r="R37" s="21" t="n">
        <x:v>127.25559764861973</x:v>
      </x:c>
      <x:c r="S37" s="21" t="n">
        <x:v>381.50961493477644</x:v>
      </x:c>
      <x:c r="T37" s="21"/>
    </x:row>
    <x:row r="38" ht="42" customHeight="1">
      <x:c r="A38" s="8" t="str">
        <x:v>R0037</x:v>
      </x:c>
      <x:c r="B38" s="8" t="str">
        <x:v>14-15</x:v>
      </x:c>
      <x:c r="C38" s="8" t="str">
        <x:v>C23</x:v>
      </x:c>
      <x:c r="D38" s="21" t="n">
        <x:v>25</x:v>
      </x:c>
      <x:c r="E38" s="21" t="n">
        <x:v>55</x:v>
      </x:c>
      <x:c r="F38" s="21" t="n">
        <x:v>30</x:v>
      </x:c>
      <x:c r="G38" s="21" t="n">
        <x:v>-16</x:v>
      </x:c>
      <x:c r="H38" s="21" t="n">
        <x:v>150</x:v>
      </x:c>
      <x:c r="I38" s="21" t="n">
        <x:v>209</x:v>
      </x:c>
      <x:c r="J38" s="21" t="n">
        <x:v>6</x:v>
      </x:c>
      <x:c r="K38" s="8" t="str">
        <x:v>沉凝灰岩</x:v>
      </x:c>
      <x:c r="L38" s="20" t="str">
        <x:v>沉凝灰岩。呈浅紫-浅灰色，具沉凝灰结构，薄层状构造。纹层发育，单层厚度约0.5-1cm。凝灰含量＞90%。</x:v>
      </x:c>
      <x:c r="M38" s="8"/>
      <x:c r="N38" s="21"/>
      <x:c r="O38" s="21" t="n">
        <x:v>28.837850878149567</x:v>
      </x:c>
      <x:c r="P38" s="21" t="n">
        <x:v>-8.269120674509974</x:v>
      </x:c>
      <x:c r="Q38" s="21" t="n">
        <x:v>-90.07619976903435</x:v>
      </x:c>
      <x:c r="R38" s="21" t="n">
        <x:v>102.28128619759482</x:v>
      </x:c>
      <x:c r="S38" s="21" t="n">
        <x:v>395.9285403738512</x:v>
      </x:c>
      <x:c r="T38" s="21"/>
    </x:row>
    <x:row r="39" ht="42" customHeight="1">
      <x:c r="A39" s="8" t="str">
        <x:v>R0038</x:v>
      </x:c>
      <x:c r="B39" s="8" t="str">
        <x:v>14-15</x:v>
      </x:c>
      <x:c r="C39" s="8" t="str">
        <x:v>C24</x:v>
      </x:c>
      <x:c r="D39" s="21" t="n">
        <x:v>55</x:v>
      </x:c>
      <x:c r="E39" s="21" t="n">
        <x:v>65</x:v>
      </x:c>
      <x:c r="F39" s="21" t="n">
        <x:v>10</x:v>
      </x:c>
      <x:c r="G39" s="21" t="n">
        <x:v>-16</x:v>
      </x:c>
      <x:c r="H39" s="21" t="n">
        <x:v>150</x:v>
      </x:c>
      <x:c r="I39" s="21" t="n">
        <x:v>260</x:v>
      </x:c>
      <x:c r="J39" s="21" t="n">
        <x:v>6</x:v>
      </x:c>
      <x:c r="K39" s="8" t="str">
        <x:v>泥化沉凝灰岩</x:v>
      </x:c>
      <x:c r="L39" s="20" t="str">
        <x:v>泥化沉凝灰岩。呈浅灰-灰白色，具沉凝灰结构，薄层状构造，纹层发育，单层厚度约0.5-1cm。凝灰含量＞90%。岩石整体发生高岭土化。</x:v>
      </x:c>
      <x:c r="M39" s="8" t="str">
        <x:v>PM01-24-b1</x:v>
      </x:c>
      <x:c r="N39" s="21"/>
      <x:c r="O39" s="21" t="n">
        <x:v>9.612616959383189</x:v>
      </x:c>
      <x:c r="P39" s="21" t="n">
        <x:v>-2.7563735581699915</x:v>
      </x:c>
      <x:c r="Q39" s="21" t="n">
        <x:v>-92.83257332720434</x:v>
      </x:c>
      <x:c r="R39" s="21" t="n">
        <x:v>93.95651571391986</x:v>
      </x:c>
      <x:c r="S39" s="21" t="n">
        <x:v>400.7348488535428</x:v>
      </x:c>
      <x:c r="T39" s="21"/>
    </x:row>
    <x:row r="40" ht="42" customHeight="1">
      <x:c r="A40" s="8" t="str">
        <x:v>R0039</x:v>
      </x:c>
      <x:c r="B40" s="8" t="str">
        <x:v>15-16</x:v>
      </x:c>
      <x:c r="C40" s="8" t="str">
        <x:v>C24</x:v>
      </x:c>
      <x:c r="D40" s="21" t="n">
        <x:v>0</x:v>
      </x:c>
      <x:c r="E40" s="21" t="n">
        <x:v>45</x:v>
      </x:c>
      <x:c r="F40" s="21" t="n">
        <x:v>45</x:v>
      </x:c>
      <x:c r="G40" s="21" t="n">
        <x:v>-13</x:v>
      </x:c>
      <x:c r="H40" s="21" t="n">
        <x:v>160</x:v>
      </x:c>
      <x:c r="I40" s="21" t="n">
        <x:v>260</x:v>
      </x:c>
      <x:c r="J40" s="21" t="n">
        <x:v>6</x:v>
      </x:c>
      <x:c r="K40" s="8" t="str">
        <x:v>泥化沉凝灰岩</x:v>
      </x:c>
      <x:c r="L40" s="20" t="str">
        <x:v>泥化沉凝灰岩。呈浅灰-灰白色，具沉凝灰结构，薄层状构造，纹层发育，单层厚度约0.5-1cm。凝灰含量＞90%。岩石整体发生高岭土化。</x:v>
      </x:c>
      <x:c r="M40" s="8"/>
      <x:c r="N40" s="21"/>
      <x:c r="O40" s="21" t="n">
        <x:v>43.84665291533559</x:v>
      </x:c>
      <x:c r="P40" s="21" t="n">
        <x:v>-10.122797445473925</x:v>
      </x:c>
      <x:c r="Q40" s="21" t="n">
        <x:v>-102.95537077267826</x:v>
      </x:c>
      <x:c r="R40" s="21" t="n">
        <x:v>52.75413952321807</x:v>
      </x:c>
      <x:c r="S40" s="21" t="n">
        <x:v>415.73128736799674</x:v>
      </x:c>
      <x:c r="T40" s="21"/>
    </x:row>
    <x:row r="41" ht="42" customHeight="1">
      <x:c r="A41" s="8" t="str">
        <x:v>R0040</x:v>
      </x:c>
      <x:c r="B41" s="8" t="str">
        <x:v>16-17</x:v>
      </x:c>
      <x:c r="C41" s="8" t="str">
        <x:v>C24</x:v>
      </x:c>
      <x:c r="D41" s="21" t="n">
        <x:v>0</x:v>
      </x:c>
      <x:c r="E41" s="21" t="n">
        <x:v>23</x:v>
      </x:c>
      <x:c r="F41" s="21" t="n">
        <x:v>23</x:v>
      </x:c>
      <x:c r="G41" s="21" t="n">
        <x:v>-10</x:v>
      </x:c>
      <x:c r="H41" s="21" t="n">
        <x:v>27</x:v>
      </x:c>
      <x:c r="I41" s="21" t="n">
        <x:v>260</x:v>
      </x:c>
      <x:c r="J41" s="21" t="n">
        <x:v>6</x:v>
      </x:c>
      <x:c r="K41" s="8" t="str">
        <x:v>泥化沉凝灰岩</x:v>
      </x:c>
      <x:c r="L41" s="20" t="str">
        <x:v>泥化沉凝灰岩。呈浅灰-灰白色，具沉凝灰结构，薄层状构造，纹层发育，单层厚度约0.5-1cm。凝灰含量＞90%。岩石整体发生高岭土化。</x:v>
      </x:c>
      <x:c r="M41" s="8"/>
      <x:c r="N41" s="21"/>
      <x:c r="O41" s="21" t="n">
        <x:v>22.650578319280786</x:v>
      </x:c>
      <x:c r="P41" s="21" t="n">
        <x:v>-3.9939080863393976</x:v>
      </x:c>
      <x:c r="Q41" s="21" t="n">
        <x:v>-106.94927885901767</x:v>
      </x:c>
      <x:c r="R41" s="21" t="n">
        <x:v>72.93595258233685</x:v>
      </x:c>
      <x:c r="S41" s="21" t="n">
        <x:v>426.01443473855676</x:v>
      </x:c>
      <x:c r="T41" s="21"/>
    </x:row>
    <x:row r="42" ht="42" customHeight="1">
      <x:c r="A42" s="8" t="str">
        <x:v>R0041</x:v>
      </x:c>
      <x:c r="B42" s="8" t="str">
        <x:v>16-17</x:v>
      </x:c>
      <x:c r="C42" s="8" t="str">
        <x:v>C25</x:v>
      </x:c>
      <x:c r="D42" s="21" t="n">
        <x:v>23</x:v>
      </x:c>
      <x:c r="E42" s="21" t="n">
        <x:v>45</x:v>
      </x:c>
      <x:c r="F42" s="21" t="n">
        <x:v>22</x:v>
      </x:c>
      <x:c r="G42" s="21" t="n">
        <x:v>-10</x:v>
      </x:c>
      <x:c r="H42" s="21" t="n">
        <x:v>27</x:v>
      </x:c>
      <x:c r="I42" s="21" t="n">
        <x:v>260</x:v>
      </x:c>
      <x:c r="J42" s="21" t="n">
        <x:v>6</x:v>
      </x:c>
      <x:c r="K42" s="8" t="str">
        <x:v>泥晶灰岩</x:v>
      </x:c>
      <x:c r="L42" s="20" t="str">
        <x:v>泥晶灰岩。呈灰色，具隐晶质结构，块状构造。方解石含量约80-85%，其余为泥质。局部发育方解石细脉，宽度约0.3-1cm。</x:v>
      </x:c>
      <x:c r="M42" s="8"/>
      <x:c r="N42" s="21"/>
      <x:c r="O42" s="21" t="n">
        <x:v>21.665770566268577</x:v>
      </x:c>
      <x:c r="P42" s="21" t="n">
        <x:v>-3.820259908672467</x:v>
      </x:c>
      <x:c r="Q42" s="21" t="n">
        <x:v>-78.73640510777186</x:v>
      </x:c>
      <x:c r="R42" s="21" t="n">
        <x:v>92.24029550845046</x:v>
      </x:c>
      <x:c r="S42" s="21" t="n">
        <x:v>435.8504887451794</x:v>
      </x:c>
      <x:c r="T42" s="21"/>
    </x:row>
    <x:row r="43" ht="42" customHeight="1">
      <x:c r="A43" s="8" t="str">
        <x:v>R0042</x:v>
      </x:c>
      <x:c r="B43" s="8" t="str">
        <x:v>17-18</x:v>
      </x:c>
      <x:c r="C43" s="8" t="str">
        <x:v>C25</x:v>
      </x:c>
      <x:c r="D43" s="21" t="n">
        <x:v>0</x:v>
      </x:c>
      <x:c r="E43" s="21" t="n">
        <x:v>49</x:v>
      </x:c>
      <x:c r="F43" s="21" t="n">
        <x:v>49</x:v>
      </x:c>
      <x:c r="G43" s="21" t="n">
        <x:v>-9</x:v>
      </x:c>
      <x:c r="H43" s="21" t="n">
        <x:v>158</x:v>
      </x:c>
      <x:c r="I43" s="21" t="n">
        <x:v>260</x:v>
      </x:c>
      <x:c r="J43" s="21" t="n">
        <x:v>6</x:v>
      </x:c>
      <x:c r="K43" s="8" t="str">
        <x:v>泥晶灰岩</x:v>
      </x:c>
      <x:c r="L43" s="20" t="str">
        <x:v>泥晶灰岩。呈灰色，具隐晶质结构，块状构造。方解石含量约80-85%，其余为泥质。局部发育方解石细脉，宽度约0.3-1cm。</x:v>
      </x:c>
      <x:c r="M43" s="8"/>
      <x:c r="N43" s="21"/>
      <x:c r="O43" s="21" t="n">
        <x:v>48.39672868916175</x:v>
      </x:c>
      <x:c r="P43" s="21" t="n">
        <x:v>-7.665288786971312</x:v>
      </x:c>
      <x:c r="Q43" s="21" t="n">
        <x:v>-88.09418110241069</x:v>
      </x:c>
      <x:c r="R43" s="21" t="n">
        <x:v>47.36763005401045</x:v>
      </x:c>
      <x:c r="S43" s="21" t="n">
        <x:v>453.98022241190046</x:v>
      </x:c>
      <x:c r="T43" s="21"/>
    </x:row>
    <x:row r="44" ht="42" customHeight="1">
      <x:c r="A44" s="8" t="str">
        <x:v>R0043</x:v>
      </x:c>
      <x:c r="B44" s="8" t="str">
        <x:v>18-19</x:v>
      </x:c>
      <x:c r="C44" s="8" t="str">
        <x:v>C25</x:v>
      </x:c>
      <x:c r="D44" s="21" t="n">
        <x:v>0</x:v>
      </x:c>
      <x:c r="E44" s="21" t="n">
        <x:v>26</x:v>
      </x:c>
      <x:c r="F44" s="21" t="n">
        <x:v>26</x:v>
      </x:c>
      <x:c r="G44" s="21" t="n">
        <x:v>-8</x:v>
      </x:c>
      <x:c r="H44" s="21" t="n">
        <x:v>128</x:v>
      </x:c>
      <x:c r="I44" s="21" t="n">
        <x:v>260</x:v>
      </x:c>
      <x:c r="J44" s="21" t="n">
        <x:v>6</x:v>
      </x:c>
      <x:c r="K44" s="8" t="str">
        <x:v>泥晶灰岩</x:v>
      </x:c>
      <x:c r="L44" s="20" t="str">
        <x:v>泥晶灰岩。呈灰色，具隐晶质结构，块状构造。方解石含量约80-85%，其余为泥质。局部发育方解石细脉，宽度约0.3-1cm。</x:v>
      </x:c>
      <x:c r="M44" s="8"/>
      <x:c r="N44" s="21"/>
      <x:c r="O44" s="21" t="n">
        <x:v>25.74696978728083</x:v>
      </x:c>
      <x:c r="P44" s="21" t="n">
        <x:v>-3.6185006249617016</x:v>
      </x:c>
      <x:c r="Q44" s="21" t="n">
        <x:v>-85.42557971948607</x:v>
      </x:c>
      <x:c r="R44" s="21" t="n">
        <x:v>31.516212649607983</x:v>
      </x:c>
      <x:c r="S44" s="21" t="n">
        <x:v>474.2691114770651</x:v>
      </x:c>
      <x:c r="T44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5" hidden="0" customWidth="1"/>
    <x:col min="4" max="4" width="21" hidden="0" customWidth="1"/>
    <x:col min="5" max="5" width="82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填写说明</x:v>
      </x:c>
    </x:row>
    <x:row r="2" ht="34" customHeight="1">
      <x:c r="A2" s="22" t="str">
        <x:v>项目</x:v>
      </x:c>
      <x:c r="B2" s="22" t="str">
        <x:v>项目名称</x:v>
      </x:c>
      <x:c r="C2" s="22" t="str">
        <x:v>选填</x:v>
      </x:c>
      <x:c r="D2" s="22" t="str">
        <x:v>文本</x:v>
      </x:c>
      <x:c r="E2" s="22" t="str">
        <x:v>项目或调查区名称。</x:v>
      </x:c>
    </x:row>
    <x:row r="3" ht="34" customHeight="1">
      <x:c r="A3" s="23" t="str">
        <x:v>项目</x:v>
      </x:c>
      <x:c r="B3" s="23" t="str">
        <x:v>剖面编号</x:v>
      </x:c>
      <x:c r="C3" s="23" t="str">
        <x:v>选填</x:v>
      </x:c>
      <x:c r="D3" s="23" t="str">
        <x:v>文本</x:v>
      </x:c>
      <x:c r="E3" s="23" t="str">
        <x:v>剖面或测线编号。</x:v>
      </x:c>
    </x:row>
    <x:row r="4" ht="34" customHeight="1">
      <x:c r="A4" s="23" t="str">
        <x:v>项目</x:v>
      </x:c>
      <x:c r="B4" s="23" t="str">
        <x:v>剖面方位角_deg</x:v>
      </x:c>
      <x:c r="C4" s="23" t="str">
        <x:v>条件必填</x:v>
      </x:c>
      <x:c r="D4" s="23" t="str">
        <x:v>数值/deg</x:v>
      </x:c>
      <x:c r="E4" s="23" t="str">
        <x:v>从正北顺时针；端点重合时须填写，范围 0≤角度&lt;360。</x:v>
      </x:c>
    </x:row>
    <x:row r="5" ht="34" customHeight="1">
      <x:c r="A5" s="23" t="str">
        <x:v>项目</x:v>
      </x:c>
      <x:c r="B5" s="23" t="str">
        <x:v>长度单位</x:v>
      </x:c>
      <x:c r="C5" s="23" t="str">
        <x:v>必填</x:v>
      </x:c>
      <x:c r="D5" s="23" t="str">
        <x:v>固定文本 m</x:v>
      </x:c>
      <x:c r="E5" s="23" t="str">
        <x:v>本版只接受 m。</x:v>
      </x:c>
    </x:row>
    <x:row r="6" ht="34" customHeight="1">
      <x:c r="A6" s="23" t="str">
        <x:v>项目</x:v>
      </x:c>
      <x:c r="B6" s="23" t="str">
        <x:v>角度单位</x:v>
      </x:c>
      <x:c r="C6" s="23" t="str">
        <x:v>必填</x:v>
      </x:c>
      <x:c r="D6" s="23" t="str">
        <x:v>固定文本 deg</x:v>
      </x:c>
      <x:c r="E6" s="23" t="str">
        <x:v>本版只接受 deg。</x:v>
      </x:c>
    </x:row>
    <x:row r="7" ht="34" customHeight="1">
      <x:c r="A7" s="23" t="str">
        <x:v>测段</x:v>
      </x:c>
      <x:c r="B7" s="23" t="str">
        <x:v>记录号</x:v>
      </x:c>
      <x:c r="C7" s="23" t="str">
        <x:v>选填</x:v>
      </x:c>
      <x:c r="D7" s="23" t="str">
        <x:v>文本</x:v>
      </x:c>
      <x:c r="E7" s="23" t="str">
        <x:v>记录的标识；可留空由系统处理。</x:v>
      </x:c>
    </x:row>
    <x:row r="8" ht="34" customHeight="1">
      <x:c r="A8" s="23" t="str">
        <x:v>测段</x:v>
      </x:c>
      <x:c r="B8" s="23" t="str">
        <x:v>导线段号</x:v>
      </x:c>
      <x:c r="C8" s="23" t="str">
        <x:v>必填</x:v>
      </x:c>
      <x:c r="D8" s="23" t="str">
        <x:v>文本</x:v>
      </x:c>
      <x:c r="E8" s="23" t="str">
        <x:v>必填；相邻测段的端点应能衔接。</x:v>
      </x:c>
    </x:row>
    <x:row r="9" ht="34" customHeight="1">
      <x:c r="A9" s="23" t="str">
        <x:v>测段</x:v>
      </x:c>
      <x:c r="B9" s="23" t="str">
        <x:v>层号</x:v>
      </x:c>
      <x:c r="C9" s="23" t="str">
        <x:v>必填</x:v>
      </x:c>
      <x:c r="D9" s="23" t="str">
        <x:v>文本</x:v>
      </x:c>
      <x:c r="E9" s="23" t="str">
        <x:v>必填；连续同层记录归为同一层段。</x:v>
      </x:c>
    </x:row>
    <x:row r="10" ht="34" customHeight="1">
      <x:c r="A10" s="23" t="str">
        <x:v>测段</x:v>
      </x:c>
      <x:c r="B10" s="23" t="str">
        <x:v>起读数_m</x:v>
      </x:c>
      <x:c r="C10" s="23" t="str">
        <x:v>选填</x:v>
      </x:c>
      <x:c r="D10" s="23" t="str">
        <x:v>数值/m</x:v>
      </x:c>
      <x:c r="E10" s="23" t="str">
        <x:v>选填；保留源表读数。</x:v>
      </x:c>
    </x:row>
    <x:row r="11" ht="34" customHeight="1">
      <x:c r="A11" s="23" t="str">
        <x:v>测段</x:v>
      </x:c>
      <x:c r="B11" s="23" t="str">
        <x:v>止读数_m</x:v>
      </x:c>
      <x:c r="C11" s="23" t="str">
        <x:v>选填</x:v>
      </x:c>
      <x:c r="D11" s="23" t="str">
        <x:v>数值/m</x:v>
      </x:c>
      <x:c r="E11" s="23" t="str">
        <x:v>选填；保留源表读数。</x:v>
      </x:c>
    </x:row>
    <x:row r="12" ht="34" customHeight="1">
      <x:c r="A12" s="23" t="str">
        <x:v>测段</x:v>
      </x:c>
      <x:c r="B12" s="23" t="str">
        <x:v>斜距_m</x:v>
      </x:c>
      <x:c r="C12" s="23" t="str">
        <x:v>必填</x:v>
      </x:c>
      <x:c r="D12" s="23" t="str">
        <x:v>数值/m</x:v>
      </x:c>
      <x:c r="E12" s="23" t="str">
        <x:v>必填且大于 0；单位 m。</x:v>
      </x:c>
    </x:row>
    <x:row r="13" ht="34" customHeight="1">
      <x:c r="A13" s="23" t="str">
        <x:v>测段</x:v>
      </x:c>
      <x:c r="B13" s="23" t="str">
        <x:v>坡角_deg</x:v>
      </x:c>
      <x:c r="C13" s="23" t="str">
        <x:v>必填</x:v>
      </x:c>
      <x:c r="D13" s="23" t="str">
        <x:v>数值/deg</x:v>
      </x:c>
      <x:c r="E13" s="23" t="str">
        <x:v>必填，范围 -90 至 90；正值向上。</x:v>
      </x:c>
    </x:row>
    <x:row r="14" ht="34" customHeight="1">
      <x:c r="A14" s="23" t="str">
        <x:v>测段</x:v>
      </x:c>
      <x:c r="B14" s="23" t="str">
        <x:v>方位角_deg</x:v>
      </x:c>
      <x:c r="C14" s="23" t="str">
        <x:v>必填</x:v>
      </x:c>
      <x:c r="D14" s="23" t="str">
        <x:v>数值/deg</x:v>
      </x:c>
      <x:c r="E14" s="23" t="str">
        <x:v>必填，从正北顺时针，范围 0≤角度&lt;360。</x:v>
      </x:c>
    </x:row>
    <x:row r="15" ht="34" customHeight="1">
      <x:c r="A15" s="23" t="str">
        <x:v>测段</x:v>
      </x:c>
      <x:c r="B15" s="23" t="str">
        <x:v>倾向_deg</x:v>
      </x:c>
      <x:c r="C15" s="23" t="str">
        <x:v>成对选填</x:v>
      </x:c>
      <x:c r="D15" s="23" t="str">
        <x:v>数值/deg</x:v>
      </x:c>
      <x:c r="E15" s="23" t="str">
        <x:v>与倾角成对选填；单独填写不形成完整产状。</x:v>
      </x:c>
    </x:row>
    <x:row r="16" ht="34" customHeight="1">
      <x:c r="A16" s="23" t="str">
        <x:v>测段</x:v>
      </x:c>
      <x:c r="B16" s="23" t="str">
        <x:v>倾角_deg</x:v>
      </x:c>
      <x:c r="C16" s="23" t="str">
        <x:v>成对选填</x:v>
      </x:c>
      <x:c r="D16" s="23" t="str">
        <x:v>数值/deg</x:v>
      </x:c>
      <x:c r="E16" s="23" t="str">
        <x:v>与倾向成对选填，范围 0 至 90。</x:v>
      </x:c>
    </x:row>
    <x:row r="17" ht="34" customHeight="1">
      <x:c r="A17" s="23" t="str">
        <x:v>测段</x:v>
      </x:c>
      <x:c r="B17" s="23" t="str">
        <x:v>岩性名称</x:v>
      </x:c>
      <x:c r="C17" s="23" t="str">
        <x:v>选填</x:v>
      </x:c>
      <x:c r="D17" s="23" t="str">
        <x:v>文本</x:v>
      </x:c>
      <x:c r="E17" s="23" t="str">
        <x:v>选填；未知名称保留原文并提示待配置。</x:v>
      </x:c>
    </x:row>
    <x:row r="18" ht="34" customHeight="1">
      <x:c r="A18" s="23" t="str">
        <x:v>测段</x:v>
      </x:c>
      <x:c r="B18" s="23" t="str">
        <x:v>岩性描述</x:v>
      </x:c>
      <x:c r="C18" s="23" t="str">
        <x:v>选填</x:v>
      </x:c>
      <x:c r="D18" s="23" t="str">
        <x:v>文本</x:v>
      </x:c>
      <x:c r="E18" s="23" t="str">
        <x:v>选填；保留完整原始描述。</x:v>
      </x:c>
    </x:row>
    <x:row r="19" ht="34" customHeight="1">
      <x:c r="A19" s="23" t="str">
        <x:v>测段</x:v>
      </x:c>
      <x:c r="B19" s="23" t="str">
        <x:v>样品编号</x:v>
      </x:c>
      <x:c r="C19" s="23" t="str">
        <x:v>选填</x:v>
      </x:c>
      <x:c r="D19" s="23" t="str">
        <x:v>文本</x:v>
      </x:c>
      <x:c r="E19" s="23" t="str">
        <x:v>选填；编号本身不表示已知位置。</x:v>
      </x:c>
    </x:row>
    <x:row r="20" ht="34" customHeight="1">
      <x:c r="A20" s="23" t="str">
        <x:v>测段</x:v>
      </x:c>
      <x:c r="B20" s="23" t="str">
        <x:v>样品距测段起点_m</x:v>
      </x:c>
      <x:c r="C20" s="23" t="str">
        <x:v>选填</x:v>
      </x:c>
      <x:c r="D20" s="23" t="str">
        <x:v>数值/m</x:v>
      </x:c>
      <x:c r="E20" s="23" t="str">
        <x:v>选填；距离本行测段起点的距离，范围 0 至斜距。</x:v>
      </x:c>
    </x:row>
    <x:row r="21" ht="34" customHeight="1">
      <x:c r="A21" s="23" t="str">
        <x:v>测段</x:v>
      </x:c>
      <x:c r="B21" s="23" t="str">
        <x:v>原表平距_m</x:v>
      </x:c>
      <x:c r="C21" s="23" t="str">
        <x:v>选填</x:v>
      </x:c>
      <x:c r="D21" s="23" t="str">
        <x:v>数值/m</x:v>
      </x:c>
      <x:c r="E21" s="23" t="str">
        <x:v>选填核对值，不代替几何计算。</x:v>
      </x:c>
    </x:row>
    <x:row r="22" ht="34" customHeight="1">
      <x:c r="A22" s="23" t="str">
        <x:v>测段</x:v>
      </x:c>
      <x:c r="B22" s="23" t="str">
        <x:v>原表高差_m</x:v>
      </x:c>
      <x:c r="C22" s="23" t="str">
        <x:v>选填</x:v>
      </x:c>
      <x:c r="D22" s="23" t="str">
        <x:v>数值/m</x:v>
      </x:c>
      <x:c r="E22" s="23" t="str">
        <x:v>选填核对值，不代替几何计算。</x:v>
      </x:c>
    </x:row>
    <x:row r="23" ht="34" customHeight="1">
      <x:c r="A23" s="23" t="str">
        <x:v>测段</x:v>
      </x:c>
      <x:c r="B23" s="23" t="str">
        <x:v>原表累计高差_m</x:v>
      </x:c>
      <x:c r="C23" s="23" t="str">
        <x:v>选填</x:v>
      </x:c>
      <x:c r="D23" s="23" t="str">
        <x:v>数值/m</x:v>
      </x:c>
      <x:c r="E23" s="23" t="str">
        <x:v>选填核对值，不代替几何计算。</x:v>
      </x:c>
    </x:row>
    <x:row r="24" ht="34" customHeight="1">
      <x:c r="A24" s="23" t="str">
        <x:v>测段</x:v>
      </x:c>
      <x:c r="B24" s="23" t="str">
        <x:v>原表累计北_m</x:v>
      </x:c>
      <x:c r="C24" s="23" t="str">
        <x:v>选填</x:v>
      </x:c>
      <x:c r="D24" s="23" t="str">
        <x:v>数值/m</x:v>
      </x:c>
      <x:c r="E24" s="23" t="str">
        <x:v>选填核对值，不代替几何计算。</x:v>
      </x:c>
    </x:row>
    <x:row r="25" ht="34" customHeight="1">
      <x:c r="A25" s="23" t="str">
        <x:v>测段</x:v>
      </x:c>
      <x:c r="B25" s="23" t="str">
        <x:v>原表累计东_m</x:v>
      </x:c>
      <x:c r="C25" s="23" t="str">
        <x:v>选填</x:v>
      </x:c>
      <x:c r="D25" s="23" t="str">
        <x:v>数值/m</x:v>
      </x:c>
      <x:c r="E25" s="23" t="str">
        <x:v>选填核对值，不代替几何计算。</x:v>
      </x:c>
    </x:row>
    <x:row r="26" ht="34" customHeight="1">
      <x:c r="A26" s="23" t="str">
        <x:v>测段</x:v>
      </x:c>
      <x:c r="B26" s="23" t="str">
        <x:v>实测真厚度_m</x:v>
      </x:c>
      <x:c r="C26" s="23" t="str">
        <x:v>选填</x:v>
      </x:c>
      <x:c r="D26" s="23" t="str">
        <x:v>数值/m</x:v>
      </x:c>
      <x:c r="E26" s="23" t="str">
        <x:v>仅填有明确实测依据的值；不得由图形推算。</x:v>
      </x:c>
    </x:row>
    <x:row r="27" ht="34" customHeight="1">
      <x:c r="A27" s="23" t="str">
        <x:v>说明</x:v>
      </x:c>
      <x:c r="B27" s="23" t="str">
        <x:v>派生几何</x:v>
      </x:c>
      <x:c r="C27" s="23" t="str">
        <x:v>系统计算</x:v>
      </x:c>
      <x:c r="D27" s="23" t="str">
        <x:v>m</x:v>
      </x:c>
      <x:c r="E27" s="23" t="str">
        <x:v>水平距和高差由斜距、坡角计算；表内缓存列只用于核对。</x:v>
      </x:c>
    </x:row>
    <x:row r="28" ht="34" customHeight="1">
      <x:c r="A28" s="24" t="str">
        <x:v>说明</x:v>
      </x:c>
      <x:c r="B28" s="24" t="str">
        <x:v>图案</x:v>
      </x:c>
      <x:c r="C28" s="24" t="str">
        <x:v>系统模板</x:v>
      </x:c>
      <x:c r="D28" s="24" t="str">
        <x:v>—</x:v>
      </x:c>
      <x:c r="E28" s="24" t="str">
        <x:v>图案用于区分材料，不表示行业标准认证；未知岩性保留待配置。</x:v>
      </x:c>
    </x:row>
  </x:sheetData>
  <x:pageMargins left="0.7" right="0.7" top="0.75" bottom="0.75" header="0.3" footer="0.3"/>
</x:worksheet>
</file>